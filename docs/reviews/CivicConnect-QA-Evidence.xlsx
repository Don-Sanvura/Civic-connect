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4734bf5997440d" /></Relationships>
</file>

<file path=xl/workbook.xml><?xml version="1.0" encoding="utf-8"?>
<x:workbook xmlns:x="http://schemas.openxmlformats.org/spreadsheetml/2006/main">
  <x:sheets>
    <x:sheet xmlns:r="http://schemas.openxmlformats.org/officeDocument/2006/relationships" name="M4 scope" sheetId="1" r:id="Radcf8c4cfbea464b"/>
    <x:sheet xmlns:r="http://schemas.openxmlformats.org/officeDocument/2006/relationships" name="Requirements" sheetId="2" r:id="R886a5fb44cf0431d"/>
    <x:sheet xmlns:r="http://schemas.openxmlformats.org/officeDocument/2006/relationships" name="RTM corrections" sheetId="3" r:id="Rb43669168e2d4116"/>
    <x:sheet xmlns:r="http://schemas.openxmlformats.org/officeDocument/2006/relationships" name="28-test audit" sheetId="4" r:id="R9bb31d61dbeb4cad"/>
    <x:sheet xmlns:r="http://schemas.openxmlformats.org/officeDocument/2006/relationships" name="Functional cases" sheetId="5" r:id="R9a2a9d7581ce4c9c"/>
    <x:sheet xmlns:r="http://schemas.openxmlformats.org/officeDocument/2006/relationships" name="NFR procedures" sheetId="6" r:id="R1ecb07f190cc41b2"/>
    <x:sheet xmlns:r="http://schemas.openxmlformats.org/officeDocument/2006/relationships" name="Registers" sheetId="7" r:id="R0e9dc122096645ac"/>
    <x:sheet xmlns:r="http://schemas.openxmlformats.org/officeDocument/2006/relationships" name="Corrections" sheetId="8" r:id="Rb4b1a40479bf4032"/>
    <x:sheet xmlns:r="http://schemas.openxmlformats.org/officeDocument/2006/relationships" name="Scope baseline" sheetId="9" r:id="R807bc88e1453433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6">
    <x:font>
      <x:sz val="11"/>
      <x:name val="Carlito"/>
    </x:font>
    <x:font>
      <x:b/>
      <x:sz val="15"/>
      <x:color rgb="FF183A58"/>
      <x:name val="Arial"/>
    </x:font>
    <x:font>
      <x:sz val="10"/>
      <x:color rgb="FF213247"/>
      <x:name val="Arial"/>
    </x:font>
    <x:font>
      <x:b/>
      <x:sz val="10"/>
      <x:color rgb="FFFFFFFF"/>
      <x:name val="Arial"/>
    </x:font>
    <x:font>
      <x:i/>
      <x:sz val="10"/>
      <x:color rgb="FF52657A"/>
      <x:name val="Arial"/>
    </x:font>
    <x:font>
      <x:b/>
      <x:sz val="15"/>
      <x:color rgb="FF213247"/>
      <x:name val="Arial"/>
    </x:font>
  </x:fonts>
  <x:fills count="6">
    <x:fill>
      <x:patternFill patternType="none"/>
    </x:fill>
    <x:fill>
      <x:patternFill patternType="gray125"/>
    </x:fill>
    <x:fill>
      <x:patternFill patternType="solid">
        <x:fgColor rgb="FF213F5B"/>
      </x:patternFill>
    </x:fill>
    <x:fill>
      <x:patternFill patternType="solid">
        <x:fgColor rgb="FFF1F5F9"/>
      </x:patternFill>
    </x:fill>
    <x:fill>
      <x:patternFill patternType="solid">
        <x:fgColor rgb="FFFFF0BF"/>
      </x:patternFill>
    </x:fill>
    <x:fill>
      <x:patternFill patternType="solid">
        <x:fgColor rgb="FFFFF6D9"/>
      </x:patternFill>
    </x:fill>
  </x:fills>
  <x:borders count="1">
    <x:border>
      <x:left/>
      <x:right/>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5" fillId="0" borderId="0" xfId="0" applyNumberFormat="1" applyFont="1" applyFill="1" applyBorder="1" applyAlignment="1">
      <x:alignment vertical="top"/>
    </x:xf>
    <x:xf numFmtId="0" fontId="2" fillId="4" borderId="0" xfId="0" applyNumberFormat="1" applyFont="1" applyFill="1" applyBorder="1" applyAlignment="1">
      <x:alignment vertical="top"/>
    </x:xf>
    <x:xf numFmtId="200" fontId="2" fillId="0" borderId="0" xfId="0" applyNumberFormat="1" applyFont="1" applyFill="1" applyBorder="1" applyAlignment="1">
      <x:alignment vertical="top"/>
    </x:xf>
    <x:xf numFmtId="0" fontId="2" fillId="5"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cellXfs>
  <x:cellStyles count="1">
    <x:cellStyle name="Normal" xfId="0"/>
  </x:cellStyles>
  <x:dxfs count="10">
    <x:dxf>
      <x:font>
        <x:b/>
        <x:color rgb="FF9C2525"/>
      </x:font>
      <x:fill>
        <x:patternFill patternType="solid">
          <x:bgColor rgb="FFFCE8E7"/>
        </x:patternFill>
      </x:fill>
    </x:dxf>
    <x:dxf>
      <x:fill>
        <x:patternFill patternType="solid">
          <x:bgColor rgb="FFFFF0CF"/>
        </x:patternFill>
      </x:fill>
    </x:dxf>
    <x:dxf>
      <x:font>
        <x:b/>
        <x:color rgb="FF9C2525"/>
      </x:font>
      <x:fill>
        <x:patternFill patternType="solid">
          <x:bgColor rgb="FFFCE8E7"/>
        </x:patternFill>
      </x:fill>
    </x:dxf>
    <x:dxf>
      <x:fill>
        <x:patternFill patternType="solid">
          <x:bgColor rgb="FFFFF0CF"/>
        </x:patternFill>
      </x:fill>
    </x:dxf>
    <x:dxf>
      <x:font>
        <x:b/>
        <x:color rgb="FF9C2525"/>
      </x:font>
      <x:fill>
        <x:patternFill patternType="solid">
          <x:bgColor rgb="FFFCE8E7"/>
        </x:patternFill>
      </x:fill>
    </x:dxf>
    <x:dxf>
      <x:fill>
        <x:patternFill patternType="solid">
          <x:bgColor rgb="FFFFF0CF"/>
        </x:patternFill>
      </x:fill>
    </x:dxf>
    <x:dxf>
      <x:font>
        <x:b/>
        <x:color rgb="FF9C2525"/>
      </x:font>
      <x:fill>
        <x:patternFill patternType="solid">
          <x:bgColor rgb="FFFCE8E7"/>
        </x:patternFill>
      </x:fill>
    </x:dxf>
    <x:dxf>
      <x:fill>
        <x:patternFill patternType="solid">
          <x:bgColor rgb="FFFFF0CF"/>
        </x:patternFill>
      </x:fill>
    </x:dxf>
    <x:dxf>
      <x:font>
        <x:color rgb="FF9C2525"/>
      </x:font>
      <x:fill>
        <x:patternFill patternType="solid">
          <x:bgColor rgb="FFFCE8E7"/>
        </x:patternFill>
      </x:fill>
    </x:dxf>
    <x:dxf>
      <x:font>
        <x:b/>
        <x:color rgb="FF9C2525"/>
      </x:font>
      <x:fill>
        <x:patternFill patternType="solid">
          <x:bgColor rgb="FFFC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2de3781d774a87" /><Relationship Type="http://schemas.openxmlformats.org/officeDocument/2006/relationships/theme" Target="/xl/theme/theme1.xml" Id="Rb2c37b4ae4f64804" /><Relationship Type="http://schemas.microsoft.com/office/2022/11/relationships/FeaturePropertyBag" Target="/xl/featurePropertyBag/featurePropertyBag.xml" Id="Rf660e1d1fb674eac" /><Relationship Type="http://schemas.openxmlformats.org/officeDocument/2006/relationships/sharedStrings" Target="/xl/sharedStrings.xml" Id="R7680543d64b74038" /><Relationship Type="http://schemas.openxmlformats.org/officeDocument/2006/relationships/worksheet" Target="/xl/worksheets/sheet1.xml" Id="Radcf8c4cfbea464b" /><Relationship Type="http://schemas.openxmlformats.org/officeDocument/2006/relationships/worksheet" Target="/xl/worksheets/sheet2.xml" Id="R886a5fb44cf0431d" /><Relationship Type="http://schemas.openxmlformats.org/officeDocument/2006/relationships/worksheet" Target="/xl/worksheets/sheet3.xml" Id="Rb43669168e2d4116" /><Relationship Type="http://schemas.openxmlformats.org/officeDocument/2006/relationships/worksheet" Target="/xl/worksheets/sheet4.xml" Id="R9bb31d61dbeb4cad" /><Relationship Type="http://schemas.openxmlformats.org/officeDocument/2006/relationships/worksheet" Target="/xl/worksheets/sheet5.xml" Id="R9a2a9d7581ce4c9c" /><Relationship Type="http://schemas.openxmlformats.org/officeDocument/2006/relationships/worksheet" Target="/xl/worksheets/sheet6.xml" Id="R1ecb07f190cc41b2" /><Relationship Type="http://schemas.openxmlformats.org/officeDocument/2006/relationships/worksheet" Target="/xl/worksheets/sheet7.xml" Id="R0e9dc122096645ac" /><Relationship Type="http://schemas.openxmlformats.org/officeDocument/2006/relationships/worksheet" Target="/xl/worksheets/sheet8.xml" Id="Rb4b1a40479bf4032" /><Relationship Type="http://schemas.openxmlformats.org/officeDocument/2006/relationships/worksheet" Target="/xl/worksheets/sheet9.xml" Id="R807bc88e145343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9" name="FinalScope" displayName="FinalScope" ref="A11:O51" headerRowCount="1" totalsRowCount="0" totalsRowShown="0">
  <x:tableColumns count="15">
    <x:tableColumn id="1" name="Requirement ID"/>
    <x:tableColumn id="2" name="Original AC ID"/>
    <x:tableColumn id="3" name="Priority"/>
    <x:tableColumn id="4" name="Scope link"/>
    <x:tableColumn id="5" name="Exact original acceptance criterion"/>
    <x:tableColumn id="6" name="Current review disposition"/>
    <x:tableColumn id="7" name="Applicable"/>
    <x:tableColumn id="8" name="Final delivery status"/>
    <x:tableColumn id="9" name="Final AC status"/>
    <x:tableColumn id="10" name="Final evidence reference"/>
    <x:tableColumn id="11" name="Reviewer and date"/>
    <x:tableColumn id="12" name="Approved change ref"/>
    <x:tableColumn id="13" name="Variance / Must omission reason"/>
    <x:tableColumn id="14" name="Completion value"/>
    <x:tableColumn id="15" name="Required next action"/>
  </x:tableColumns>
  <x:tableStyleInfo name="TableStyleMedium2" showFirstColumn="0" showLastColumn="0" showRowStripes="1" showColumnStripes="0"/>
</x:table>
</file>

<file path=xl/tables/table2.xml><?xml version="1.0" encoding="utf-8"?>
<x:table xmlns:x="http://schemas.openxmlformats.org/spreadsheetml/2006/main" id="1" name="TRequirements" displayName="TRequirements" ref="A5:V45" headerRowCount="1" totalsRowCount="0" totalsRowShown="0">
  <x:tableColumns count="22">
    <x:tableColumn id="1" name="Requirement ID"/>
    <x:tableColumn id="2" name="TR ID"/>
    <x:tableColumn id="3" name="Title"/>
    <x:tableColumn id="4" name="Requirement wording"/>
    <x:tableColumn id="5" name="AC ID"/>
    <x:tableColumn id="6" name="Exact acceptance criterion"/>
    <x:tableColumn id="7" name="MoSCoW"/>
    <x:tableColumn id="8" name="Stakeholder/source"/>
    <x:tableColumn id="9" name="Stakeholder need"/>
    <x:tableColumn id="10" name="Scope item"/>
    <x:tableColumn id="11" name="Baseline verification method"/>
    <x:tableColumn id="12" name="Existing implementation"/>
    <x:tableColumn id="13" name="Existing tests/evidence"/>
    <x:tableColumn id="14" name="Missing behaviour/evidence"/>
    <x:tableColumn id="15" name="Review disposition"/>
    <x:tableColumn id="16" name="Acceptance conclusion"/>
    <x:tableColumn id="17" name="Recommended owner"/>
    <x:tableColumn id="18" name="Verification case"/>
    <x:tableColumn id="19" name="Design reference"/>
    <x:tableColumn id="20" name="Existing addendum status"/>
    <x:tableColumn id="21" name="Source URL"/>
    <x:tableColumn id="22" name="Reviewed SHA"/>
  </x:tableColumns>
  <x:tableStyleInfo name="TableStyleMedium2" showFirstColumn="0" showLastColumn="0" showRowStripes="1" showColumnStripes="0"/>
</x:table>
</file>

<file path=xl/tables/table3.xml><?xml version="1.0" encoding="utf-8"?>
<x:table xmlns:x="http://schemas.openxmlformats.org/spreadsheetml/2006/main" id="2" name="TRTMcorrections" displayName="TRTMcorrections" ref="A5:Q45" headerRowCount="1" totalsRowCount="0" totalsRowShown="0">
  <x:tableColumns count="17">
    <x:tableColumn id="1" name="TR ID"/>
    <x:tableColumn id="2" name="Requirement ID"/>
    <x:tableColumn id="3" name="Existing AC cell"/>
    <x:tableColumn id="4" name="Correct AC ID"/>
    <x:tableColumn id="5" name="Separate priority"/>
    <x:tableColumn id="6" name="Exact criterion"/>
    <x:tableColumn id="7" name="Mapping check"/>
    <x:tableColumn id="8" name="Existing test references"/>
    <x:tableColumn id="9" name="Existing IDs resolve"/>
    <x:tableColumn id="10" name="Recommended evidence references"/>
    <x:tableColumn id="11" name="Existing implementation claim"/>
    <x:tableColumn id="12" name="Corrected implementation assessment"/>
    <x:tableColumn id="13" name="Recommended disposition"/>
    <x:tableColumn id="14" name="Execution evidence"/>
    <x:tableColumn id="15" name="Design gap"/>
    <x:tableColumn id="16" name="Release decision"/>
    <x:tableColumn id="17" name="Reviewed SHA"/>
  </x:tableColumns>
  <x:tableStyleInfo name="TableStyleMedium2" showFirstColumn="0" showLastColumn="0" showRowStripes="1" showColumnStripes="0"/>
</x:table>
</file>

<file path=xl/tables/table4.xml><?xml version="1.0" encoding="utf-8"?>
<x:table xmlns:x="http://schemas.openxmlformats.org/spreadsheetml/2006/main" id="3" name="Ttestaudit" displayName="Ttestaudit" ref="A5:L33" headerRowCount="1" totalsRowCount="0" totalsRowShown="0">
  <x:tableColumns count="12">
    <x:tableColumn id="1" name="TST ID"/>
    <x:tableColumn id="2" name="Actual test title"/>
    <x:tableColumn id="3" name="Related requirements"/>
    <x:tableColumn id="4" name="AC IDs"/>
    <x:tableColumn id="5" name="Test classification"/>
    <x:tableColumn id="6" name="Input/setup"/>
    <x:tableColumn id="7" name="Expected result"/>
    <x:tableColumn id="8" name="Assertions actually present"/>
    <x:tableColumn id="9" name="What it proves"/>
    <x:tableColumn id="10" name="What remains untested"/>
    <x:tableColumn id="11" name="Executed result"/>
    <x:tableColumn id="12" name="Source URL"/>
  </x:tableColumns>
  <x:tableStyleInfo name="TableStyleMedium2" showFirstColumn="0" showLastColumn="0" showRowStripes="1" showColumnStripes="0"/>
</x:table>
</file>

<file path=xl/tables/table5.xml><?xml version="1.0" encoding="utf-8"?>
<x:table xmlns:x="http://schemas.openxmlformats.org/spreadsheetml/2006/main" id="4" name="TFunctionalcases" displayName="TFunctionalcases" ref="A5:L31" headerRowCount="1" totalsRowCount="0" totalsRowShown="0">
  <x:tableColumns count="12">
    <x:tableColumn id="1" name="Case ID"/>
    <x:tableColumn id="2" name="Requirement"/>
    <x:tableColumn id="3" name="AC ID"/>
    <x:tableColumn id="4" name="Priority"/>
    <x:tableColumn id="5" name="Setup"/>
    <x:tableColumn id="6" name="Test data"/>
    <x:tableColumn id="7" name="Action"/>
    <x:tableColumn id="8" name="Expected outcome"/>
    <x:tableColumn id="9" name="Negative cases"/>
    <x:tableColumn id="10" name="Evidence needed"/>
    <x:tableColumn id="11" name="Current result"/>
    <x:tableColumn id="12" name="Recommended owner"/>
  </x:tableColumns>
  <x:tableStyleInfo name="TableStyleMedium2" showFirstColumn="0" showLastColumn="0" showRowStripes="1" showColumnStripes="0"/>
</x:table>
</file>

<file path=xl/tables/table6.xml><?xml version="1.0" encoding="utf-8"?>
<x:table xmlns:x="http://schemas.openxmlformats.org/spreadsheetml/2006/main" id="5" name="TNFRprocedures" displayName="TNFRprocedures" ref="A5:J19" headerRowCount="1" totalsRowCount="0" totalsRowShown="0">
  <x:tableColumns count="10">
    <x:tableColumn id="1" name="Case ID"/>
    <x:tableColumn id="2" name="Requirement"/>
    <x:tableColumn id="3" name="AC ID"/>
    <x:tableColumn id="4" name="Exact acceptance criterion"/>
    <x:tableColumn id="5" name="Current disposition"/>
    <x:tableColumn id="6" name="Existing evidence"/>
    <x:tableColumn id="7" name="Procedure and threshold"/>
    <x:tableColumn id="8" name="Evidence caveat"/>
    <x:tableColumn id="9" name="Recommended owner"/>
    <x:tableColumn id="10" name="Result"/>
  </x:tableColumns>
  <x:tableStyleInfo name="TableStyleMedium2" showFirstColumn="0" showLastColumn="0" showRowStripes="1" showColumnStripes="0"/>
</x:table>
</file>

<file path=xl/tables/table7.xml><?xml version="1.0" encoding="utf-8"?>
<x:table xmlns:x="http://schemas.openxmlformats.org/spreadsheetml/2006/main" id="6" name="TRegisters" displayName="TRegisters" ref="A5:I44" headerRowCount="1" totalsRowCount="0" totalsRowShown="0">
  <x:tableColumns count="9">
    <x:tableColumn id="1" name="Register"/>
    <x:tableColumn id="2" name="Existing ID/row"/>
    <x:tableColumn id="3" name="Current status"/>
    <x:tableColumn id="4" name="Recommended disposition"/>
    <x:tableColumn id="5" name="Evidence/impact"/>
    <x:tableColumn id="6" name="Owner"/>
    <x:tableColumn id="7" name="Required closure/retest evidence"/>
    <x:tableColumn id="8" name="Historical severity/score"/>
    <x:tableColumn id="9" name="Action state"/>
  </x:tableColumns>
  <x:tableStyleInfo name="TableStyleMedium2" showFirstColumn="0" showLastColumn="0" showRowStripes="1" showColumnStripes="0"/>
</x:table>
</file>

<file path=xl/tables/table8.xml><?xml version="1.0" encoding="utf-8"?>
<x:table xmlns:x="http://schemas.openxmlformats.org/spreadsheetml/2006/main" id="7" name="TCorrections" displayName="TCorrections" ref="A5:D25" headerRowCount="1" totalsRowCount="0" totalsRowShown="0">
  <x:tableColumns count="4">
    <x:tableColumn id="1" name="Artefact"/>
    <x:tableColumn id="2" name="Recommended correction"/>
    <x:tableColumn id="3" name="Owner / closure evidence"/>
    <x:tableColumn id="4" name="Status"/>
  </x:tableColumns>
  <x:tableStyleInfo name="TableStyleMedium2" showFirstColumn="0" showLastColumn="0" showRowStripes="1" showColumnStripes="0"/>
</x:table>
</file>

<file path=xl/tables/table9.xml><?xml version="1.0" encoding="utf-8"?>
<x:table xmlns:x="http://schemas.openxmlformats.org/spreadsheetml/2006/main" id="8" name="TScopebaseline" displayName="TScopebaseline" ref="A5:E32" headerRowCount="1" totalsRowCount="0" totalsRowShown="0">
  <x:tableColumns count="5">
    <x:tableColumn id="1" name="ID"/>
    <x:tableColumn id="2" name="Classification"/>
    <x:tableColumn id="3" name="Scope item"/>
    <x:tableColumn id="4" name="Requirements"/>
    <x:tableColumn id="5" name="Rationale / evidence requir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f4d941bc8d4915" /></Relationships>
</file>

<file path=xl/worksheets/_rels/sheet2.xml.rels>&#65279;<?xml version="1.0" encoding="utf-8"?><Relationships xmlns="http://schemas.openxmlformats.org/package/2006/relationships"><Relationship Type="http://schemas.openxmlformats.org/officeDocument/2006/relationships/table" Target="/xl/tables/table2.xml" Id="R72246344556d4c0d" /></Relationships>
</file>

<file path=xl/worksheets/_rels/sheet3.xml.rels>&#65279;<?xml version="1.0" encoding="utf-8"?><Relationships xmlns="http://schemas.openxmlformats.org/package/2006/relationships"><Relationship Type="http://schemas.openxmlformats.org/officeDocument/2006/relationships/table" Target="/xl/tables/table3.xml" Id="Rc5e52023d2964d8a" /></Relationships>
</file>

<file path=xl/worksheets/_rels/sheet4.xml.rels>&#65279;<?xml version="1.0" encoding="utf-8"?><Relationships xmlns="http://schemas.openxmlformats.org/package/2006/relationships"><Relationship Type="http://schemas.openxmlformats.org/officeDocument/2006/relationships/table" Target="/xl/tables/table4.xml" Id="R010b829344bf4628" /></Relationships>
</file>

<file path=xl/worksheets/_rels/sheet5.xml.rels>&#65279;<?xml version="1.0" encoding="utf-8"?><Relationships xmlns="http://schemas.openxmlformats.org/package/2006/relationships"><Relationship Type="http://schemas.openxmlformats.org/officeDocument/2006/relationships/table" Target="/xl/tables/table5.xml" Id="R19c87ce17a484cea" /></Relationships>
</file>

<file path=xl/worksheets/_rels/sheet6.xml.rels>&#65279;<?xml version="1.0" encoding="utf-8"?><Relationships xmlns="http://schemas.openxmlformats.org/package/2006/relationships"><Relationship Type="http://schemas.openxmlformats.org/officeDocument/2006/relationships/table" Target="/xl/tables/table6.xml" Id="R6349e0016b754176" /></Relationships>
</file>

<file path=xl/worksheets/_rels/sheet7.xml.rels>&#65279;<?xml version="1.0" encoding="utf-8"?><Relationships xmlns="http://schemas.openxmlformats.org/package/2006/relationships"><Relationship Type="http://schemas.openxmlformats.org/officeDocument/2006/relationships/table" Target="/xl/tables/table7.xml" Id="Ref3c4615f3bd4184" /></Relationships>
</file>

<file path=xl/worksheets/_rels/sheet8.xml.rels>&#65279;<?xml version="1.0" encoding="utf-8"?><Relationships xmlns="http://schemas.openxmlformats.org/package/2006/relationships"><Relationship Type="http://schemas.openxmlformats.org/officeDocument/2006/relationships/table" Target="/xl/tables/table8.xml" Id="Rb7399ea56ed84d5d" /></Relationships>
</file>

<file path=xl/worksheets/_rels/sheet9.xml.rels>&#65279;<?xml version="1.0" encoding="utf-8"?><Relationships xmlns="http://schemas.openxmlformats.org/package/2006/relationships"><Relationship Type="http://schemas.openxmlformats.org/officeDocument/2006/relationships/table" Target="/xl/tables/table9.xml" Id="R313db9f34acb4c46" /></Relationships>
</file>

<file path=xl/worksheets/sheet1.xml><?xml version="1.0" encoding="utf-8"?>
<x:worksheet xmlns:x="http://schemas.openxmlformats.org/spreadsheetml/2006/main">
  <x:sheetPr>
    <x:tabColor rgb="FF213F5B"/>
  </x:sheetPr>
  <x:sheetViews>
    <x:sheetView showGridLines="0" workbookViewId="0">
      <x:pane xSplit="2" ySplit="11" topLeftCell="C12" activePane="bottomRight" state="frozen"/>
    </x:sheetView>
  </x:sheetViews>
  <x:sheetFormatPr defaultRowHeight="15"/>
  <x:cols>
    <x:col min="1" max="1" width="18" hidden="0" customWidth="1"/>
    <x:col min="2" max="2" width="48" hidden="0" customWidth="1"/>
    <x:col min="3" max="3" width="14" hidden="0" customWidth="1"/>
    <x:col min="4" max="4" width="62" hidden="0" customWidth="1"/>
    <x:col min="5" max="5" width="88" hidden="0" customWidth="1"/>
    <x:col min="6" max="6" width="36" hidden="0" customWidth="1"/>
    <x:col min="7" max="7" width="16" hidden="0" customWidth="1"/>
    <x:col min="8" max="8" width="50" hidden="0" customWidth="1"/>
    <x:col min="9" max="9" width="24" hidden="0" customWidth="1"/>
    <x:col min="10" max="10" width="65" hidden="0" customWidth="1"/>
    <x:col min="11" max="11" width="38" hidden="0" customWidth="1"/>
    <x:col min="12" max="12" width="44" hidden="0" customWidth="1"/>
    <x:col min="13" max="13" width="65" hidden="0" customWidth="1"/>
    <x:col min="14" max="14" width="20" hidden="0" customWidth="1"/>
    <x:col min="15" max="15" width="38" hidden="0" customWidth="1"/>
  </x:cols>
  <x:sheetData>
    <x:row r="2">
      <x:c r="A2" s="17" t="str">
        <x:v>M4 original-acceptance completion worksheet</x:v>
      </x:c>
      <x:c r="B2" s="3"/>
      <x:c r="C2" s="3"/>
      <x:c r="D2" s="3"/>
      <x:c r="E2" s="3"/>
      <x:c r="F2" s="3"/>
      <x:c r="G2" s="3"/>
      <x:c r="H2" s="3"/>
      <x:c r="I2" s="3"/>
      <x:c r="J2" s="3"/>
      <x:c r="K2" s="3"/>
      <x:c r="L2" s="3"/>
      <x:c r="M2" s="3"/>
      <x:c r="N2" s="3"/>
      <x:c r="O2" s="3"/>
    </x:row>
    <x:row r="3">
      <x:c r="A3" s="3" t="str">
        <x:v>Final scores are blank. All 40 original criteria remain provisionally applicable. Confirm scope before scoring; exclusions require approved change references.</x:v>
      </x:c>
      <x:c r="B3" s="3"/>
      <x:c r="C3" s="3"/>
      <x:c r="D3" s="3"/>
      <x:c r="E3" s="3"/>
      <x:c r="F3" s="3"/>
      <x:c r="G3" s="3"/>
      <x:c r="H3" s="3"/>
      <x:c r="I3" s="3"/>
      <x:c r="J3" s="3"/>
      <x:c r="K3" s="3"/>
      <x:c r="L3" s="3"/>
      <x:c r="M3" s="3"/>
      <x:c r="N3" s="3"/>
      <x:c r="O3" s="3"/>
    </x:row>
    <x:row r="4">
      <x:c r="A4" s="3" t="str">
        <x:v>Release SHA</x:v>
      </x:c>
      <x:c r="B4" s="18" t="str"/>
      <x:c r="C4" s="3"/>
      <x:c r="D4" s="3" t="str">
        <x:v>Met=1; Partially Met=0.5; Not Met=0. Target&gt;=80%; explain incomplete Must criteria.</x:v>
      </x:c>
      <x:c r="E4" s="3"/>
      <x:c r="F4" s="3"/>
      <x:c r="G4" s="3"/>
      <x:c r="H4" s="3"/>
      <x:c r="I4" s="3"/>
      <x:c r="J4" s="3"/>
      <x:c r="K4" s="3"/>
      <x:c r="L4" s="3"/>
      <x:c r="M4" s="3"/>
      <x:c r="N4" s="3"/>
      <x:c r="O4" s="3"/>
    </x:row>
    <x:row r="5">
      <x:c r="A5" s="3" t="str">
        <x:v>Scope confirmed</x:v>
      </x:c>
      <x:c r="B5" s="18" t="str">
        <x:v>Pending</x:v>
      </x:c>
      <x:c r="C5" s="3"/>
      <x:c r="D5" s="3" t="str">
        <x:v>Amber cells are final inputs. Current review dispositions are not final acceptance scores.</x:v>
      </x:c>
      <x:c r="E5" s="3"/>
      <x:c r="F5" s="3"/>
      <x:c r="G5" s="3"/>
      <x:c r="H5" s="3"/>
      <x:c r="I5" s="3"/>
      <x:c r="J5" s="3"/>
      <x:c r="K5" s="3"/>
      <x:c r="L5" s="3"/>
      <x:c r="M5" s="3"/>
      <x:c r="N5" s="3"/>
      <x:c r="O5" s="3"/>
    </x:row>
    <x:row r="6">
      <x:c r="A6" s="3" t="str">
        <x:v>Applicable ACs</x:v>
      </x:c>
      <x:c r="B6" s="3" t="n">
        <x:f>COUNTIFS(G12:G51,"Yes")</x:f>
        <x:v>40</x:v>
      </x:c>
      <x:c r="C6" s="3"/>
      <x:c r="D6" s="3" t="str">
        <x:v>Source: SEN381 FINAL.pdf pp7-9; original requirements and RTM at reviewed SHA.</x:v>
      </x:c>
      <x:c r="E6" s="3"/>
      <x:c r="F6" s="3"/>
      <x:c r="G6" s="3"/>
      <x:c r="H6" s="3"/>
      <x:c r="I6" s="3"/>
      <x:c r="J6" s="3"/>
      <x:c r="K6" s="3"/>
      <x:c r="L6" s="3"/>
      <x:c r="M6" s="3"/>
      <x:c r="N6" s="3"/>
      <x:c r="O6" s="3"/>
    </x:row>
    <x:row r="7">
      <x:c r="A7" s="3" t="str">
        <x:v>Evidence ready</x:v>
      </x:c>
      <x:c r="B7" s="3" t="n">
        <x:f>COUNTIFS(O12:O51,"Ready")</x:f>
        <x:v>0</x:v>
      </x:c>
      <x:c r="C7" s="3"/>
      <x:c r="D7" s="3"/>
      <x:c r="E7" s="3"/>
      <x:c r="F7" s="3"/>
      <x:c r="G7" s="3"/>
      <x:c r="H7" s="3"/>
      <x:c r="I7" s="3"/>
      <x:c r="J7" s="3"/>
      <x:c r="K7" s="3"/>
      <x:c r="L7" s="3"/>
      <x:c r="M7" s="3"/>
      <x:c r="N7" s="3"/>
      <x:c r="O7" s="3"/>
    </x:row>
    <x:row r="8">
      <x:c r="A8" s="3" t="str">
        <x:v>Completion</x:v>
      </x:c>
      <x:c r="B8" s="19" t="str">
        <x:f>IF(OR(B4="",B5&lt;&gt;"Confirmed",B6=0,COUNTIFS(O12:O51,"Ready")+COUNTIFS(O12:O51,"Excluded with change ref")&lt;&gt;40),"NOT VERIFIED",SUMIFS(N12:N51,G12:G51,"Yes")/B6)</x:f>
        <x:v>NOT VERIFIED</x:v>
      </x:c>
      <x:c r="C8" s="3"/>
      <x:c r="D8" s="3"/>
      <x:c r="E8" s="3"/>
      <x:c r="F8" s="3"/>
      <x:c r="G8" s="3"/>
      <x:c r="H8" s="3"/>
      <x:c r="I8" s="3"/>
      <x:c r="J8" s="3"/>
      <x:c r="K8" s="3"/>
      <x:c r="L8" s="3"/>
      <x:c r="M8" s="3"/>
      <x:c r="N8" s="3"/>
      <x:c r="O8" s="3"/>
    </x:row>
    <x:row r="9">
      <x:c r="A9" s="3"/>
      <x:c r="B9" s="3"/>
      <x:c r="C9" s="3"/>
      <x:c r="D9" s="3"/>
      <x:c r="E9" s="3"/>
      <x:c r="F9" s="3"/>
      <x:c r="G9" s="3"/>
      <x:c r="H9" s="3"/>
      <x:c r="I9" s="3"/>
      <x:c r="J9" s="3"/>
      <x:c r="K9" s="3"/>
      <x:c r="L9" s="3"/>
      <x:c r="M9" s="3"/>
      <x:c r="N9" s="3"/>
      <x:c r="O9" s="3"/>
    </x:row>
    <x:row r="10">
      <x:c r="A10" s="3" t="str">
        <x:v>Do not split compound original AC paragraphs into extra scored rows. Final evidence, reviewer/date and release must identify the same baseline.</x:v>
      </x:c>
      <x:c r="B10" s="3"/>
      <x:c r="C10" s="3"/>
      <x:c r="D10" s="3"/>
      <x:c r="E10" s="3"/>
      <x:c r="F10" s="3"/>
      <x:c r="G10" s="3"/>
      <x:c r="H10" s="3"/>
      <x:c r="I10" s="3"/>
      <x:c r="J10" s="3"/>
      <x:c r="K10" s="3"/>
      <x:c r="L10" s="3"/>
      <x:c r="M10" s="3"/>
      <x:c r="N10" s="3"/>
      <x:c r="O10" s="3"/>
    </x:row>
    <x:row r="11" ht="36" customHeight="1">
      <x:c r="A11" s="8" t="str">
        <x:v>Requirement ID</x:v>
      </x:c>
      <x:c r="B11" s="8" t="str">
        <x:v>Original AC ID</x:v>
      </x:c>
      <x:c r="C11" s="8" t="str">
        <x:v>Priority</x:v>
      </x:c>
      <x:c r="D11" s="8" t="str">
        <x:v>Scope link</x:v>
      </x:c>
      <x:c r="E11" s="8" t="str">
        <x:v>Exact original acceptance criterion</x:v>
      </x:c>
      <x:c r="F11" s="8" t="str">
        <x:v>Current review disposition</x:v>
      </x:c>
      <x:c r="G11" s="8" t="str">
        <x:v>Applicable</x:v>
      </x:c>
      <x:c r="H11" s="8" t="str">
        <x:v>Final delivery status</x:v>
      </x:c>
      <x:c r="I11" s="8" t="str">
        <x:v>Final AC status</x:v>
      </x:c>
      <x:c r="J11" s="8" t="str">
        <x:v>Final evidence reference</x:v>
      </x:c>
      <x:c r="K11" s="8" t="str">
        <x:v>Reviewer and date</x:v>
      </x:c>
      <x:c r="L11" s="8" t="str">
        <x:v>Approved change ref</x:v>
      </x:c>
      <x:c r="M11" s="8" t="str">
        <x:v>Variance / Must omission reason</x:v>
      </x:c>
      <x:c r="N11" s="8" t="str">
        <x:v>Completion value</x:v>
      </x:c>
      <x:c r="O11" s="8" t="str">
        <x:v>Required next action</x:v>
      </x:c>
    </x:row>
    <x:row r="12" ht="90" customHeight="1">
      <x:c r="A12" s="10" t="str">
        <x:v>FR-001</x:v>
      </x:c>
      <x:c r="B12" s="10" t="str">
        <x:v>AC-001</x:v>
      </x:c>
      <x:c r="C12" s="10" t="str">
        <x:v>Must</x:v>
      </x:c>
      <x:c r="D12" s="10" t="str">
        <x:v>SCOPE-I-01 (explicit baseline mapping)</x:v>
      </x:c>
      <x:c r="E12" s="10" t="str">
        <x:v>Given an Administrator on the user administration screen, when a valid email and role are submitted, then an active account exists with that role and no other role, and the creation is written to the audit trail.</x:v>
      </x:c>
      <x:c r="F12" s="10" t="str">
        <x:v>GAP</x:v>
      </x:c>
      <x:c r="G12" s="20" t="str">
        <x:v>Yes</x:v>
      </x:c>
      <x:c r="H12" s="20" t="str"/>
      <x:c r="I12" s="20" t="str"/>
      <x:c r="J12" s="20" t="str"/>
      <x:c r="K12" s="20" t="str"/>
      <x:c r="L12" s="20" t="str"/>
      <x:c r="M12" s="20" t="str"/>
      <x:c r="N12" s="21" t="str">
        <x:f>IF(G12="No","",IF(I12="Met",1,IF(I12="Partially Met",0.5,IF(I12="Not Met",0,""))))</x:f>
      </x:c>
      <x:c r="O12" s="9" t="str">
        <x:f>IF(G12="No",IF(L12="","Missing change ref","Excluded with change ref"),IF(G12&lt;&gt;"Yes","Confirm applicability",IF(OR(H12="",I12="",J12="",K12="",AND(I12&lt;&gt;"Met",I12&lt;&gt;"Partially Met",I12&lt;&gt;"Not Met")),"Missing status/evidence",IF(AND(H12="CHANGED/REMOVED THROUGH APPROVED CHANGE",L12=""),"Missing change ref",IF(AND(C12="Must",I12&lt;&gt;"Met",M12=""),"Explain Must omission","Ready")))))</x:f>
        <x:v>Missing status/evidence</x:v>
      </x:c>
    </x:row>
    <x:row r="13" ht="90" customHeight="1">
      <x:c r="A13" s="9" t="str">
        <x:v>FR-002</x:v>
      </x:c>
      <x:c r="B13" s="9" t="str">
        <x:v>AC-002</x:v>
      </x:c>
      <x:c r="C13" s="9" t="str">
        <x:v>Must</x:v>
      </x:c>
      <x:c r="D13" s="9" t="str">
        <x:v>SCOPE-I-01 (explicit baseline mapping)</x:v>
      </x:c>
      <x:c r="E13" s="9" t="str">
        <x:v>Given an unauthenticated visitor, when any application URL other than sign-in or password reset is requested, then access is refused and the visitor is redirected to sign-in with no request data disclosed.</x:v>
      </x:c>
      <x:c r="F13" s="9" t="str">
        <x:v>FAILED</x:v>
      </x:c>
      <x:c r="G13" s="20" t="str">
        <x:v>Yes</x:v>
      </x:c>
      <x:c r="H13" s="20" t="str"/>
      <x:c r="I13" s="20" t="str"/>
      <x:c r="J13" s="20" t="str"/>
      <x:c r="K13" s="20" t="str"/>
      <x:c r="L13" s="20" t="str"/>
      <x:c r="M13" s="20" t="str"/>
      <x:c r="N13" s="21" t="str">
        <x:f>IF(G13="No","",IF(I13="Met",1,IF(I13="Partially Met",0.5,IF(I13="Not Met",0,""))))</x:f>
      </x:c>
      <x:c r="O13" s="9" t="str">
        <x:f>IF(G13="No",IF(L13="","Missing change ref","Excluded with change ref"),IF(G13&lt;&gt;"Yes","Confirm applicability",IF(OR(H13="",I13="",J13="",K13="",AND(I13&lt;&gt;"Met",I13&lt;&gt;"Partially Met",I13&lt;&gt;"Not Met")),"Missing status/evidence",IF(AND(H13="CHANGED/REMOVED THROUGH APPROVED CHANGE",L13=""),"Missing change ref",IF(AND(C13="Must",I13&lt;&gt;"Met",M13=""),"Explain Must omission","Ready")))))</x:f>
        <x:v>Missing status/evidence</x:v>
      </x:c>
    </x:row>
    <x:row r="14" ht="90" customHeight="1">
      <x:c r="A14" s="10" t="str">
        <x:v>FR-003</x:v>
      </x:c>
      <x:c r="B14" s="10" t="str">
        <x:v>AC-003</x:v>
      </x:c>
      <x:c r="C14" s="10" t="str">
        <x:v>Must</x:v>
      </x:c>
      <x:c r="D14" s="10" t="str">
        <x:v>SCOPE-I-01 (explicit baseline mapping)</x:v>
      </x:c>
      <x:c r="E14" s="10" t="str">
        <x:v>Given an authenticated user in role R, when an operation not authorised for R is attempted, then the operation is refused with an authorisation error and no state change occurs.</x:v>
      </x:c>
      <x:c r="F14" s="10" t="str">
        <x:v>FAILED</x:v>
      </x:c>
      <x:c r="G14" s="20" t="str">
        <x:v>Yes</x:v>
      </x:c>
      <x:c r="H14" s="20" t="str"/>
      <x:c r="I14" s="20" t="str"/>
      <x:c r="J14" s="20" t="str"/>
      <x:c r="K14" s="20" t="str"/>
      <x:c r="L14" s="20" t="str"/>
      <x:c r="M14" s="20" t="str"/>
      <x:c r="N14" s="21" t="str">
        <x:f>IF(G14="No","",IF(I14="Met",1,IF(I14="Partially Met",0.5,IF(I14="Not Met",0,""))))</x:f>
      </x:c>
      <x:c r="O14" s="9" t="str">
        <x:f>IF(G14="No",IF(L14="","Missing change ref","Excluded with change ref"),IF(G14&lt;&gt;"Yes","Confirm applicability",IF(OR(H14="",I14="",J14="",K14="",AND(I14&lt;&gt;"Met",I14&lt;&gt;"Partially Met",I14&lt;&gt;"Not Met")),"Missing status/evidence",IF(AND(H14="CHANGED/REMOVED THROUGH APPROVED CHANGE",L14=""),"Missing change ref",IF(AND(C14="Must",I14&lt;&gt;"Met",M14=""),"Explain Must omission","Ready")))))</x:f>
        <x:v>Missing status/evidence</x:v>
      </x:c>
    </x:row>
    <x:row r="15" ht="90" customHeight="1">
      <x:c r="A15" s="9" t="str">
        <x:v>FR-004</x:v>
      </x:c>
      <x:c r="B15" s="9" t="str">
        <x:v>AC-004</x:v>
      </x:c>
      <x:c r="C15" s="9" t="str">
        <x:v>Should</x:v>
      </x:c>
      <x:c r="D15" s="9" t="str">
        <x:v>SCOPE-I-01 (explicit baseline mapping)</x:v>
      </x:c>
      <x:c r="E15" s="9" t="str">
        <x:v>Given a registered user requesting a reset, when the emailed link is used within its validity period, then a new password may be set; when the same link is reused or used after expiry, then it is refused.</x:v>
      </x:c>
      <x:c r="F15" s="9" t="str">
        <x:v>GAP</x:v>
      </x:c>
      <x:c r="G15" s="20" t="str">
        <x:v>Yes</x:v>
      </x:c>
      <x:c r="H15" s="20" t="str"/>
      <x:c r="I15" s="20" t="str"/>
      <x:c r="J15" s="20" t="str"/>
      <x:c r="K15" s="20" t="str"/>
      <x:c r="L15" s="20" t="str"/>
      <x:c r="M15" s="20" t="str"/>
      <x:c r="N15" s="21" t="str">
        <x:f>IF(G15="No","",IF(I15="Met",1,IF(I15="Partially Met",0.5,IF(I15="Not Met",0,""))))</x:f>
      </x:c>
      <x:c r="O15" s="9" t="str">
        <x:f>IF(G15="No",IF(L15="","Missing change ref","Excluded with change ref"),IF(G15&lt;&gt;"Yes","Confirm applicability",IF(OR(H15="",I15="",J15="",K15="",AND(I15&lt;&gt;"Met",I15&lt;&gt;"Partially Met",I15&lt;&gt;"Not Met")),"Missing status/evidence",IF(AND(H15="CHANGED/REMOVED THROUGH APPROVED CHANGE",L15=""),"Missing change ref",IF(AND(C15="Must",I15&lt;&gt;"Met",M15=""),"Explain Must omission","Ready")))))</x:f>
        <x:v>Missing status/evidence</x:v>
      </x:c>
    </x:row>
    <x:row r="16" ht="90" customHeight="1">
      <x:c r="A16" s="10" t="str">
        <x:v>FR-005</x:v>
      </x:c>
      <x:c r="B16" s="10" t="str">
        <x:v>AC-005</x:v>
      </x:c>
      <x:c r="C16" s="10" t="str">
        <x:v>Must</x:v>
      </x:c>
      <x:c r="D16" s="10" t="str">
        <x:v>SCOPE-I-02 (explicit baseline mapping)</x:v>
      </x:c>
      <x:c r="E16" s="10" t="str">
        <x:v>Given an authenticated Requester with all four mandatory fields completed, when the request is submitted, then a request is stored with a unique reference, status New, the submitter recorded and a submission timestamp; and the reference is displayed to the Requester.</x:v>
      </x:c>
      <x:c r="F16" s="10" t="str">
        <x:v>PARTIAL</x:v>
      </x:c>
      <x:c r="G16" s="20" t="str">
        <x:v>Yes</x:v>
      </x:c>
      <x:c r="H16" s="20" t="str"/>
      <x:c r="I16" s="20" t="str"/>
      <x:c r="J16" s="20" t="str"/>
      <x:c r="K16" s="20" t="str"/>
      <x:c r="L16" s="20" t="str"/>
      <x:c r="M16" s="20" t="str"/>
      <x:c r="N16" s="21" t="str">
        <x:f>IF(G16="No","",IF(I16="Met",1,IF(I16="Partially Met",0.5,IF(I16="Not Met",0,""))))</x:f>
      </x:c>
      <x:c r="O16" s="9" t="str">
        <x:f>IF(G16="No",IF(L16="","Missing change ref","Excluded with change ref"),IF(G16&lt;&gt;"Yes","Confirm applicability",IF(OR(H16="",I16="",J16="",K16="",AND(I16&lt;&gt;"Met",I16&lt;&gt;"Partially Met",I16&lt;&gt;"Not Met")),"Missing status/evidence",IF(AND(H16="CHANGED/REMOVED THROUGH APPROVED CHANGE",L16=""),"Missing change ref",IF(AND(C16="Must",I16&lt;&gt;"Met",M16=""),"Explain Must omission","Ready")))))</x:f>
        <x:v>Missing status/evidence</x:v>
      </x:c>
    </x:row>
    <x:row r="17" ht="90" customHeight="1">
      <x:c r="A17" s="9" t="str">
        <x:v>FR-006</x:v>
      </x:c>
      <x:c r="B17" s="9" t="str">
        <x:v>AC-006</x:v>
      </x:c>
      <x:c r="C17" s="9" t="str">
        <x:v>Must</x:v>
      </x:c>
      <x:c r="D17" s="9" t="str">
        <x:v>SCOPE-I-02 (explicit baseline mapping)</x:v>
      </x:c>
      <x:c r="E17" s="9" t="str">
        <x:v>Given the submission form, when no category is selected, then submission is refused with a field-level message; and the category selector offers only values from the active controlled list.</x:v>
      </x:c>
      <x:c r="F17" s="9" t="str">
        <x:v>PARTIAL</x:v>
      </x:c>
      <x:c r="G17" s="20" t="str">
        <x:v>Yes</x:v>
      </x:c>
      <x:c r="H17" s="20" t="str"/>
      <x:c r="I17" s="20" t="str"/>
      <x:c r="J17" s="20" t="str"/>
      <x:c r="K17" s="20" t="str"/>
      <x:c r="L17" s="20" t="str"/>
      <x:c r="M17" s="20" t="str"/>
      <x:c r="N17" s="21" t="str">
        <x:f>IF(G17="No","",IF(I17="Met",1,IF(I17="Partially Met",0.5,IF(I17="Not Met",0,""))))</x:f>
      </x:c>
      <x:c r="O17" s="9" t="str">
        <x:f>IF(G17="No",IF(L17="","Missing change ref","Excluded with change ref"),IF(G17&lt;&gt;"Yes","Confirm applicability",IF(OR(H17="",I17="",J17="",K17="",AND(I17&lt;&gt;"Met",I17&lt;&gt;"Partially Met",I17&lt;&gt;"Not Met")),"Missing status/evidence",IF(AND(H17="CHANGED/REMOVED THROUGH APPROVED CHANGE",L17=""),"Missing change ref",IF(AND(C17="Must",I17&lt;&gt;"Met",M17=""),"Explain Must omission","Ready")))))</x:f>
        <x:v>Missing status/evidence</x:v>
      </x:c>
    </x:row>
    <x:row r="18" ht="90" customHeight="1">
      <x:c r="A18" s="10" t="str">
        <x:v>FR-007</x:v>
      </x:c>
      <x:c r="B18" s="10" t="str">
        <x:v>AC-007</x:v>
      </x:c>
      <x:c r="C18" s="10" t="str">
        <x:v>Must</x:v>
      </x:c>
      <x:c r="D18" s="10" t="str">
        <x:v>SCOPE-I-03 (explicit baseline mapping)</x:v>
      </x:c>
      <x:c r="E18" s="10" t="str">
        <x:v>Given a Requester with at least one submitted request, when the request is opened, then the current status, the date of the last status change and any resolution note are displayed.</x:v>
      </x:c>
      <x:c r="F18" s="10" t="str">
        <x:v>PARTIAL</x:v>
      </x:c>
      <x:c r="G18" s="20" t="str">
        <x:v>Yes</x:v>
      </x:c>
      <x:c r="H18" s="20" t="str"/>
      <x:c r="I18" s="20" t="str"/>
      <x:c r="J18" s="20" t="str"/>
      <x:c r="K18" s="20" t="str"/>
      <x:c r="L18" s="20" t="str"/>
      <x:c r="M18" s="20" t="str"/>
      <x:c r="N18" s="21" t="str">
        <x:f>IF(G18="No","",IF(I18="Met",1,IF(I18="Partially Met",0.5,IF(I18="Not Met",0,""))))</x:f>
      </x:c>
      <x:c r="O18" s="9" t="str">
        <x:f>IF(G18="No",IF(L18="","Missing change ref","Excluded with change ref"),IF(G18&lt;&gt;"Yes","Confirm applicability",IF(OR(H18="",I18="",J18="",K18="",AND(I18&lt;&gt;"Met",I18&lt;&gt;"Partially Met",I18&lt;&gt;"Not Met")),"Missing status/evidence",IF(AND(H18="CHANGED/REMOVED THROUGH APPROVED CHANGE",L18=""),"Missing change ref",IF(AND(C18="Must",I18&lt;&gt;"Met",M18=""),"Explain Must omission","Ready")))))</x:f>
        <x:v>Missing status/evidence</x:v>
      </x:c>
    </x:row>
    <x:row r="19" ht="90" customHeight="1">
      <x:c r="A19" s="9" t="str">
        <x:v>FR-008</x:v>
      </x:c>
      <x:c r="B19" s="9" t="str">
        <x:v>AC-008</x:v>
      </x:c>
      <x:c r="C19" s="9" t="str">
        <x:v>Must</x:v>
      </x:c>
      <x:c r="D19" s="9" t="str">
        <x:v>SCOPE-I-03 (explicit baseline mapping)</x:v>
      </x:c>
      <x:c r="E19" s="9" t="str">
        <x:v>Given a Requester with n submitted requests, when the request list is opened, then exactly those n requests are listed with reference, category, submission date and status, and no request belonging to another user appears.</x:v>
      </x:c>
      <x:c r="F19" s="9" t="str">
        <x:v>PARTIAL</x:v>
      </x:c>
      <x:c r="G19" s="20" t="str">
        <x:v>Yes</x:v>
      </x:c>
      <x:c r="H19" s="20" t="str"/>
      <x:c r="I19" s="20" t="str"/>
      <x:c r="J19" s="20" t="str"/>
      <x:c r="K19" s="20" t="str"/>
      <x:c r="L19" s="20" t="str"/>
      <x:c r="M19" s="20" t="str"/>
      <x:c r="N19" s="21" t="str">
        <x:f>IF(G19="No","",IF(I19="Met",1,IF(I19="Partially Met",0.5,IF(I19="Not Met",0,""))))</x:f>
      </x:c>
      <x:c r="O19" s="9" t="str">
        <x:f>IF(G19="No",IF(L19="","Missing change ref","Excluded with change ref"),IF(G19&lt;&gt;"Yes","Confirm applicability",IF(OR(H19="",I19="",J19="",K19="",AND(I19&lt;&gt;"Met",I19&lt;&gt;"Partially Met",I19&lt;&gt;"Not Met")),"Missing status/evidence",IF(AND(H19="CHANGED/REMOVED THROUGH APPROVED CHANGE",L19=""),"Missing change ref",IF(AND(C19="Must",I19&lt;&gt;"Met",M19=""),"Explain Must omission","Ready")))))</x:f>
        <x:v>Missing status/evidence</x:v>
      </x:c>
    </x:row>
    <x:row r="20" ht="90" customHeight="1">
      <x:c r="A20" s="10" t="str">
        <x:v>FR-009</x:v>
      </x:c>
      <x:c r="B20" s="10" t="str">
        <x:v>AC-009</x:v>
      </x:c>
      <x:c r="C20" s="10" t="str">
        <x:v>Must</x:v>
      </x:c>
      <x:c r="D20" s="10" t="str">
        <x:v>SCOPE-I-04 (explicit baseline mapping)</x:v>
      </x:c>
      <x:c r="E20" s="10" t="str">
        <x:v>Given a request owned by Requester X, when its status changes to Accepted, Rejected or Resolved, then an in-app notification and an email are generated to X within 5 minutes, containing the reference, the new status and any reason.</x:v>
      </x:c>
      <x:c r="F20" s="10" t="str">
        <x:v>GAP</x:v>
      </x:c>
      <x:c r="G20" s="20" t="str">
        <x:v>Yes</x:v>
      </x:c>
      <x:c r="H20" s="20" t="str"/>
      <x:c r="I20" s="20" t="str"/>
      <x:c r="J20" s="20" t="str"/>
      <x:c r="K20" s="20" t="str"/>
      <x:c r="L20" s="20" t="str"/>
      <x:c r="M20" s="20" t="str"/>
      <x:c r="N20" s="21" t="str">
        <x:f>IF(G20="No","",IF(I20="Met",1,IF(I20="Partially Met",0.5,IF(I20="Not Met",0,""))))</x:f>
      </x:c>
      <x:c r="O20" s="9" t="str">
        <x:f>IF(G20="No",IF(L20="","Missing change ref","Excluded with change ref"),IF(G20&lt;&gt;"Yes","Confirm applicability",IF(OR(H20="",I20="",J20="",K20="",AND(I20&lt;&gt;"Met",I20&lt;&gt;"Partially Met",I20&lt;&gt;"Not Met")),"Missing status/evidence",IF(AND(H20="CHANGED/REMOVED THROUGH APPROVED CHANGE",L20=""),"Missing change ref",IF(AND(C20="Must",I20&lt;&gt;"Met",M20=""),"Explain Must omission","Ready")))))</x:f>
        <x:v>Missing status/evidence</x:v>
      </x:c>
    </x:row>
    <x:row r="21" ht="90" customHeight="1">
      <x:c r="A21" s="9" t="str">
        <x:v>FR-010</x:v>
      </x:c>
      <x:c r="B21" s="9" t="str">
        <x:v>AC-010</x:v>
      </x:c>
      <x:c r="C21" s="9" t="str">
        <x:v>Should</x:v>
      </x:c>
      <x:c r="D21" s="9" t="str">
        <x:v>SCOPE-I-08 (explicit baseline mapping)</x:v>
      </x:c>
      <x:c r="E21" s="9" t="str">
        <x:v>Given a request with an assigned staff member, when either party adds a comment, then the comment is stored against the request with author and timestamp and is visible to both, and no email address or telephone number of the other party is displayed.</x:v>
      </x:c>
      <x:c r="F21" s="9" t="str">
        <x:v>GAP</x:v>
      </x:c>
      <x:c r="G21" s="20" t="str">
        <x:v>Yes</x:v>
      </x:c>
      <x:c r="H21" s="20" t="str"/>
      <x:c r="I21" s="20" t="str"/>
      <x:c r="J21" s="20" t="str"/>
      <x:c r="K21" s="20" t="str"/>
      <x:c r="L21" s="20" t="str"/>
      <x:c r="M21" s="20" t="str"/>
      <x:c r="N21" s="21" t="str">
        <x:f>IF(G21="No","",IF(I21="Met",1,IF(I21="Partially Met",0.5,IF(I21="Not Met",0,""))))</x:f>
      </x:c>
      <x:c r="O21" s="9" t="str">
        <x:f>IF(G21="No",IF(L21="","Missing change ref","Excluded with change ref"),IF(G21&lt;&gt;"Yes","Confirm applicability",IF(OR(H21="",I21="",J21="",K21="",AND(I21&lt;&gt;"Met",I21&lt;&gt;"Partially Met",I21&lt;&gt;"Not Met")),"Missing status/evidence",IF(AND(H21="CHANGED/REMOVED THROUGH APPROVED CHANGE",L21=""),"Missing change ref",IF(AND(C21="Must",I21&lt;&gt;"Met",M21=""),"Explain Must omission","Ready")))))</x:f>
        <x:v>Missing status/evidence</x:v>
      </x:c>
    </x:row>
    <x:row r="22" ht="90" customHeight="1">
      <x:c r="A22" s="10" t="str">
        <x:v>FR-011</x:v>
      </x:c>
      <x:c r="B22" s="10" t="str">
        <x:v>AC-011</x:v>
      </x:c>
      <x:c r="C22" s="10" t="str">
        <x:v>Must</x:v>
      </x:c>
      <x:c r="D22" s="10" t="str">
        <x:v>SCOPE-I-05 (explicit baseline mapping)</x:v>
      </x:c>
      <x:c r="E22" s="10" t="str">
        <x:v>Given a Staff user, when the queue is opened, then unassigned requests and requests assigned to that user are listed, and requests assigned to another staff member are not shown by default.</x:v>
      </x:c>
      <x:c r="F22" s="10" t="str">
        <x:v>IMPLEMENTED / UNVERIFIED</x:v>
      </x:c>
      <x:c r="G22" s="20" t="str">
        <x:v>Yes</x:v>
      </x:c>
      <x:c r="H22" s="20" t="str"/>
      <x:c r="I22" s="20" t="str"/>
      <x:c r="J22" s="20" t="str"/>
      <x:c r="K22" s="20" t="str"/>
      <x:c r="L22" s="20" t="str"/>
      <x:c r="M22" s="20" t="str"/>
      <x:c r="N22" s="21" t="str">
        <x:f>IF(G22="No","",IF(I22="Met",1,IF(I22="Partially Met",0.5,IF(I22="Not Met",0,""))))</x:f>
      </x:c>
      <x:c r="O22" s="9" t="str">
        <x:f>IF(G22="No",IF(L22="","Missing change ref","Excluded with change ref"),IF(G22&lt;&gt;"Yes","Confirm applicability",IF(OR(H22="",I22="",J22="",K22="",AND(I22&lt;&gt;"Met",I22&lt;&gt;"Partially Met",I22&lt;&gt;"Not Met")),"Missing status/evidence",IF(AND(H22="CHANGED/REMOVED THROUGH APPROVED CHANGE",L22=""),"Missing change ref",IF(AND(C22="Must",I22&lt;&gt;"Met",M22=""),"Explain Must omission","Ready")))))</x:f>
        <x:v>Missing status/evidence</x:v>
      </x:c>
    </x:row>
    <x:row r="23" ht="90" customHeight="1">
      <x:c r="A23" s="9" t="str">
        <x:v>FR-012</x:v>
      </x:c>
      <x:c r="B23" s="9" t="str">
        <x:v>AC-012</x:v>
      </x:c>
      <x:c r="C23" s="9" t="str">
        <x:v>Must</x:v>
      </x:c>
      <x:c r="D23" s="9" t="str">
        <x:v>SCOPE-I-05 (explicit baseline mapping)</x:v>
      </x:c>
      <x:c r="E23" s="9" t="str">
        <x:v>Given a list of requests, when a filter or sort is applied, then only matching requests are returned in the requested order, and combining two filters returns the intersection.</x:v>
      </x:c>
      <x:c r="F23" s="9" t="str">
        <x:v>FAILED</x:v>
      </x:c>
      <x:c r="G23" s="20" t="str">
        <x:v>Yes</x:v>
      </x:c>
      <x:c r="H23" s="20" t="str"/>
      <x:c r="I23" s="20" t="str"/>
      <x:c r="J23" s="20" t="str"/>
      <x:c r="K23" s="20" t="str"/>
      <x:c r="L23" s="20" t="str"/>
      <x:c r="M23" s="20" t="str"/>
      <x:c r="N23" s="21" t="str">
        <x:f>IF(G23="No","",IF(I23="Met",1,IF(I23="Partially Met",0.5,IF(I23="Not Met",0,""))))</x:f>
      </x:c>
      <x:c r="O23" s="9" t="str">
        <x:f>IF(G23="No",IF(L23="","Missing change ref","Excluded with change ref"),IF(G23&lt;&gt;"Yes","Confirm applicability",IF(OR(H23="",I23="",J23="",K23="",AND(I23&lt;&gt;"Met",I23&lt;&gt;"Partially Met",I23&lt;&gt;"Not Met")),"Missing status/evidence",IF(AND(H23="CHANGED/REMOVED THROUGH APPROVED CHANGE",L23=""),"Missing change ref",IF(AND(C23="Must",I23&lt;&gt;"Met",M23=""),"Explain Must omission","Ready")))))</x:f>
        <x:v>Missing status/evidence</x:v>
      </x:c>
    </x:row>
    <x:row r="24" ht="90" customHeight="1">
      <x:c r="A24" s="10" t="str">
        <x:v>FR-013</x:v>
      </x:c>
      <x:c r="B24" s="10" t="str">
        <x:v>AC-013</x:v>
      </x:c>
      <x:c r="C24" s="10" t="str">
        <x:v>Must</x:v>
      </x:c>
      <x:c r="D24" s="10" t="str">
        <x:v>SCOPE-I-05 (explicit baseline mapping)</x:v>
      </x:c>
      <x:c r="E24" s="10" t="str">
        <x:v>Given an authorised user opening a request, when the detail view is displayed, then submitted information, current status, assignee, all comments and the complete ordered change history are shown.</x:v>
      </x:c>
      <x:c r="F24" s="10" t="str">
        <x:v>PARTIAL</x:v>
      </x:c>
      <x:c r="G24" s="20" t="str">
        <x:v>Yes</x:v>
      </x:c>
      <x:c r="H24" s="20" t="str"/>
      <x:c r="I24" s="20" t="str"/>
      <x:c r="J24" s="20" t="str"/>
      <x:c r="K24" s="20" t="str"/>
      <x:c r="L24" s="20" t="str"/>
      <x:c r="M24" s="20" t="str"/>
      <x:c r="N24" s="21" t="str">
        <x:f>IF(G24="No","",IF(I24="Met",1,IF(I24="Partially Met",0.5,IF(I24="Not Met",0,""))))</x:f>
      </x:c>
      <x:c r="O24" s="9" t="str">
        <x:f>IF(G24="No",IF(L24="","Missing change ref","Excluded with change ref"),IF(G24&lt;&gt;"Yes","Confirm applicability",IF(OR(H24="",I24="",J24="",K24="",AND(I24&lt;&gt;"Met",I24&lt;&gt;"Partially Met",I24&lt;&gt;"Not Met")),"Missing status/evidence",IF(AND(H24="CHANGED/REMOVED THROUGH APPROVED CHANGE",L24=""),"Missing change ref",IF(AND(C24="Must",I24&lt;&gt;"Met",M24=""),"Explain Must omission","Ready")))))</x:f>
        <x:v>Missing status/evidence</x:v>
      </x:c>
    </x:row>
    <x:row r="25" ht="90" customHeight="1">
      <x:c r="A25" s="9" t="str">
        <x:v>FR-014</x:v>
      </x:c>
      <x:c r="B25" s="9" t="str">
        <x:v>AC-014</x:v>
      </x:c>
      <x:c r="C25" s="9" t="str">
        <x:v>Must</x:v>
      </x:c>
      <x:c r="D25" s="9" t="str">
        <x:v>SCOPE-I-06 (explicit baseline mapping)</x:v>
      </x:c>
      <x:c r="E25" s="9" t="str">
        <x:v>Given an unassigned request, when a Staff user accepts it, then that user becomes the assignee and the assignment is written to the audit trail; and when a Manager reassigns it, the previous and new assignee are both recorded.</x:v>
      </x:c>
      <x:c r="F25" s="9" t="str">
        <x:v>FAILED</x:v>
      </x:c>
      <x:c r="G25" s="20" t="str">
        <x:v>Yes</x:v>
      </x:c>
      <x:c r="H25" s="20" t="str"/>
      <x:c r="I25" s="20" t="str"/>
      <x:c r="J25" s="20" t="str"/>
      <x:c r="K25" s="20" t="str"/>
      <x:c r="L25" s="20" t="str"/>
      <x:c r="M25" s="20" t="str"/>
      <x:c r="N25" s="21" t="str">
        <x:f>IF(G25="No","",IF(I25="Met",1,IF(I25="Partially Met",0.5,IF(I25="Not Met",0,""))))</x:f>
      </x:c>
      <x:c r="O25" s="9" t="str">
        <x:f>IF(G25="No",IF(L25="","Missing change ref","Excluded with change ref"),IF(G25&lt;&gt;"Yes","Confirm applicability",IF(OR(H25="",I25="",J25="",K25="",AND(I25&lt;&gt;"Met",I25&lt;&gt;"Partially Met",I25&lt;&gt;"Not Met")),"Missing status/evidence",IF(AND(H25="CHANGED/REMOVED THROUGH APPROVED CHANGE",L25=""),"Missing change ref",IF(AND(C25="Must",I25&lt;&gt;"Met",M25=""),"Explain Must omission","Ready")))))</x:f>
        <x:v>Missing status/evidence</x:v>
      </x:c>
    </x:row>
    <x:row r="26" ht="90" customHeight="1">
      <x:c r="A26" s="10" t="str">
        <x:v>FR-015</x:v>
      </x:c>
      <x:c r="B26" s="10" t="str">
        <x:v>AC-015</x:v>
      </x:c>
      <x:c r="C26" s="10" t="str">
        <x:v>Must</x:v>
      </x:c>
      <x:c r="D26" s="10" t="str">
        <x:v>SCOPE-I-07 (explicit baseline mapping)</x:v>
      </x:c>
      <x:c r="E26" s="10" t="str">
        <x:v>Given a request in status Closed, when any transition other than the defined reopen path is attempted, then it is refused and the status is unchanged; and every permitted transition is recorded with actor and timestamp.</x:v>
      </x:c>
      <x:c r="F26" s="10" t="str">
        <x:v>FAILED</x:v>
      </x:c>
      <x:c r="G26" s="20" t="str">
        <x:v>Yes</x:v>
      </x:c>
      <x:c r="H26" s="20" t="str"/>
      <x:c r="I26" s="20" t="str"/>
      <x:c r="J26" s="20" t="str"/>
      <x:c r="K26" s="20" t="str"/>
      <x:c r="L26" s="20" t="str"/>
      <x:c r="M26" s="20" t="str"/>
      <x:c r="N26" s="21" t="str">
        <x:f>IF(G26="No","",IF(I26="Met",1,IF(I26="Partially Met",0.5,IF(I26="Not Met",0,""))))</x:f>
      </x:c>
      <x:c r="O26" s="9" t="str">
        <x:f>IF(G26="No",IF(L26="","Missing change ref","Excluded with change ref"),IF(G26&lt;&gt;"Yes","Confirm applicability",IF(OR(H26="",I26="",J26="",K26="",AND(I26&lt;&gt;"Met",I26&lt;&gt;"Partially Met",I26&lt;&gt;"Not Met")),"Missing status/evidence",IF(AND(H26="CHANGED/REMOVED THROUGH APPROVED CHANGE",L26=""),"Missing change ref",IF(AND(C26="Must",I26&lt;&gt;"Met",M26=""),"Explain Must omission","Ready")))))</x:f>
        <x:v>Missing status/evidence</x:v>
      </x:c>
    </x:row>
    <x:row r="27" ht="90" customHeight="1">
      <x:c r="A27" s="9" t="str">
        <x:v>FR-016</x:v>
      </x:c>
      <x:c r="B27" s="9" t="str">
        <x:v>AC-016</x:v>
      </x:c>
      <x:c r="C27" s="9" t="str">
        <x:v>Must</x:v>
      </x:c>
      <x:c r="D27" s="9" t="str">
        <x:v>SCOPE-I-08 (explicit baseline mapping)</x:v>
      </x:c>
      <x:c r="E27" s="9" t="str">
        <x:v>Given a request being moved to Resolved, when no resolution note is supplied, then the transition is refused; when a note is supplied, the note is stored against the request with author and timestamp.</x:v>
      </x:c>
      <x:c r="F27" s="9" t="str">
        <x:v>PARTIAL</x:v>
      </x:c>
      <x:c r="G27" s="20" t="str">
        <x:v>Yes</x:v>
      </x:c>
      <x:c r="H27" s="20" t="str"/>
      <x:c r="I27" s="20" t="str"/>
      <x:c r="J27" s="20" t="str"/>
      <x:c r="K27" s="20" t="str"/>
      <x:c r="L27" s="20" t="str"/>
      <x:c r="M27" s="20" t="str"/>
      <x:c r="N27" s="21" t="str">
        <x:f>IF(G27="No","",IF(I27="Met",1,IF(I27="Partially Met",0.5,IF(I27="Not Met",0,""))))</x:f>
      </x:c>
      <x:c r="O27" s="9" t="str">
        <x:f>IF(G27="No",IF(L27="","Missing change ref","Excluded with change ref"),IF(G27&lt;&gt;"Yes","Confirm applicability",IF(OR(H27="",I27="",J27="",K27="",AND(I27&lt;&gt;"Met",I27&lt;&gt;"Partially Met",I27&lt;&gt;"Not Met")),"Missing status/evidence",IF(AND(H27="CHANGED/REMOVED THROUGH APPROVED CHANGE",L27=""),"Missing change ref",IF(AND(C27="Must",I27&lt;&gt;"Met",M27=""),"Explain Must omission","Ready")))))</x:f>
        <x:v>Missing status/evidence</x:v>
      </x:c>
    </x:row>
    <x:row r="28" ht="90" customHeight="1">
      <x:c r="A28" s="10" t="str">
        <x:v>FR-017</x:v>
      </x:c>
      <x:c r="B28" s="10" t="str">
        <x:v>AC-017</x:v>
      </x:c>
      <x:c r="C28" s="10" t="str">
        <x:v>Must</x:v>
      </x:c>
      <x:c r="D28" s="10" t="str">
        <x:v>SCOPE-I-07 (explicit baseline mapping)</x:v>
      </x:c>
      <x:c r="E28" s="10" t="str">
        <x:v>Given a Resolved request, when a Manager closes it, then the status becomes Closed with actor and timestamp recorded; and a Staff user attempting to close it directly is refused.</x:v>
      </x:c>
      <x:c r="F28" s="10" t="str">
        <x:v>PARTIAL</x:v>
      </x:c>
      <x:c r="G28" s="20" t="str">
        <x:v>Yes</x:v>
      </x:c>
      <x:c r="H28" s="20" t="str"/>
      <x:c r="I28" s="20" t="str"/>
      <x:c r="J28" s="20" t="str"/>
      <x:c r="K28" s="20" t="str"/>
      <x:c r="L28" s="20" t="str"/>
      <x:c r="M28" s="20" t="str"/>
      <x:c r="N28" s="21" t="str">
        <x:f>IF(G28="No","",IF(I28="Met",1,IF(I28="Partially Met",0.5,IF(I28="Not Met",0,""))))</x:f>
      </x:c>
      <x:c r="O28" s="9" t="str">
        <x:f>IF(G28="No",IF(L28="","Missing change ref","Excluded with change ref"),IF(G28&lt;&gt;"Yes","Confirm applicability",IF(OR(H28="",I28="",J28="",K28="",AND(I28&lt;&gt;"Met",I28&lt;&gt;"Partially Met",I28&lt;&gt;"Not Met")),"Missing status/evidence",IF(AND(H28="CHANGED/REMOVED THROUGH APPROVED CHANGE",L28=""),"Missing change ref",IF(AND(C28="Must",I28&lt;&gt;"Met",M28=""),"Explain Must omission","Ready")))))</x:f>
        <x:v>Missing status/evidence</x:v>
      </x:c>
    </x:row>
    <x:row r="29" ht="90" customHeight="1">
      <x:c r="A29" s="9" t="str">
        <x:v>FR-018</x:v>
      </x:c>
      <x:c r="B29" s="9" t="str">
        <x:v>AC-018</x:v>
      </x:c>
      <x:c r="C29" s="9" t="str">
        <x:v>Should</x:v>
      </x:c>
      <x:c r="D29" s="9" t="str">
        <x:v>SCOPE-I-07 (explicit baseline mapping)</x:v>
      </x:c>
      <x:c r="E29" s="9" t="str">
        <x:v>Given a request being rejected, when no reason is supplied, then the rejection is refused; when a reason is supplied, the request status becomes Rejected, the reason is stored and the Requester is notified (FR-009).</x:v>
      </x:c>
      <x:c r="F29" s="9" t="str">
        <x:v>PARTIAL</x:v>
      </x:c>
      <x:c r="G29" s="20" t="str">
        <x:v>Yes</x:v>
      </x:c>
      <x:c r="H29" s="20" t="str"/>
      <x:c r="I29" s="20" t="str"/>
      <x:c r="J29" s="20" t="str"/>
      <x:c r="K29" s="20" t="str"/>
      <x:c r="L29" s="20" t="str"/>
      <x:c r="M29" s="20" t="str"/>
      <x:c r="N29" s="21" t="str">
        <x:f>IF(G29="No","",IF(I29="Met",1,IF(I29="Partially Met",0.5,IF(I29="Not Met",0,""))))</x:f>
      </x:c>
      <x:c r="O29" s="9" t="str">
        <x:f>IF(G29="No",IF(L29="","Missing change ref","Excluded with change ref"),IF(G29&lt;&gt;"Yes","Confirm applicability",IF(OR(H29="",I29="",J29="",K29="",AND(I29&lt;&gt;"Met",I29&lt;&gt;"Partially Met",I29&lt;&gt;"Not Met")),"Missing status/evidence",IF(AND(H29="CHANGED/REMOVED THROUGH APPROVED CHANGE",L29=""),"Missing change ref",IF(AND(C29="Must",I29&lt;&gt;"Met",M29=""),"Explain Must omission","Ready")))))</x:f>
        <x:v>Missing status/evidence</x:v>
      </x:c>
    </x:row>
    <x:row r="30" ht="90" customHeight="1">
      <x:c r="A30" s="10" t="str">
        <x:v>FR-019</x:v>
      </x:c>
      <x:c r="B30" s="10" t="str">
        <x:v>AC-019</x:v>
      </x:c>
      <x:c r="C30" s="10" t="str">
        <x:v>Must</x:v>
      </x:c>
      <x:c r="D30" s="10" t="str">
        <x:v>SCOPE-I-09 (explicit baseline mapping)</x:v>
      </x:c>
      <x:c r="E30" s="10" t="str">
        <x:v>Given a known data set for a period, when the dashboard is opened for that period, then each displayed count equals the count obtained directly from the stored records for that period.</x:v>
      </x:c>
      <x:c r="F30" s="10" t="str">
        <x:v>GAP</x:v>
      </x:c>
      <x:c r="G30" s="20" t="str">
        <x:v>Yes</x:v>
      </x:c>
      <x:c r="H30" s="20" t="str"/>
      <x:c r="I30" s="20" t="str"/>
      <x:c r="J30" s="20" t="str"/>
      <x:c r="K30" s="20" t="str"/>
      <x:c r="L30" s="20" t="str"/>
      <x:c r="M30" s="20" t="str"/>
      <x:c r="N30" s="21" t="str">
        <x:f>IF(G30="No","",IF(I30="Met",1,IF(I30="Partially Met",0.5,IF(I30="Not Met",0,""))))</x:f>
      </x:c>
      <x:c r="O30" s="9" t="str">
        <x:f>IF(G30="No",IF(L30="","Missing change ref","Excluded with change ref"),IF(G30&lt;&gt;"Yes","Confirm applicability",IF(OR(H30="",I30="",J30="",K30="",AND(I30&lt;&gt;"Met",I30&lt;&gt;"Partially Met",I30&lt;&gt;"Not Met")),"Missing status/evidence",IF(AND(H30="CHANGED/REMOVED THROUGH APPROVED CHANGE",L30=""),"Missing change ref",IF(AND(C30="Must",I30&lt;&gt;"Met",M30=""),"Explain Must omission","Ready")))))</x:f>
        <x:v>Missing status/evidence</x:v>
      </x:c>
    </x:row>
    <x:row r="31" ht="90" customHeight="1">
      <x:c r="A31" s="9" t="str">
        <x:v>FR-020</x:v>
      </x:c>
      <x:c r="B31" s="9" t="str">
        <x:v>AC-020</x:v>
      </x:c>
      <x:c r="C31" s="9" t="str">
        <x:v>Must</x:v>
      </x:c>
      <x:c r="D31" s="9" t="str">
        <x:v>SCOPE-I-10 (explicit baseline mapping)</x:v>
      </x:c>
      <x:c r="E31" s="9" t="str">
        <x:v>Given a seeded data set, when a breakdown by category is requested, then every active category is represented and the sum of the category counts equals the total request count for the period.</x:v>
      </x:c>
      <x:c r="F31" s="9" t="str">
        <x:v>GAP</x:v>
      </x:c>
      <x:c r="G31" s="20" t="str">
        <x:v>Yes</x:v>
      </x:c>
      <x:c r="H31" s="20" t="str"/>
      <x:c r="I31" s="20" t="str"/>
      <x:c r="J31" s="20" t="str"/>
      <x:c r="K31" s="20" t="str"/>
      <x:c r="L31" s="20" t="str"/>
      <x:c r="M31" s="20" t="str"/>
      <x:c r="N31" s="21" t="str">
        <x:f>IF(G31="No","",IF(I31="Met",1,IF(I31="Partially Met",0.5,IF(I31="Not Met",0,""))))</x:f>
      </x:c>
      <x:c r="O31" s="9" t="str">
        <x:f>IF(G31="No",IF(L31="","Missing change ref","Excluded with change ref"),IF(G31&lt;&gt;"Yes","Confirm applicability",IF(OR(H31="",I31="",J31="",K31="",AND(I31&lt;&gt;"Met",I31&lt;&gt;"Partially Met",I31&lt;&gt;"Not Met")),"Missing status/evidence",IF(AND(H31="CHANGED/REMOVED THROUGH APPROVED CHANGE",L31=""),"Missing change ref",IF(AND(C31="Must",I31&lt;&gt;"Met",M31=""),"Explain Must omission","Ready")))))</x:f>
        <x:v>Missing status/evidence</x:v>
      </x:c>
    </x:row>
    <x:row r="32" ht="90" customHeight="1">
      <x:c r="A32" s="10" t="str">
        <x:v>FR-021</x:v>
      </x:c>
      <x:c r="B32" s="10" t="str">
        <x:v>AC-021</x:v>
      </x:c>
      <x:c r="C32" s="10" t="str">
        <x:v>Must</x:v>
      </x:c>
      <x:c r="D32" s="10" t="str">
        <x:v>SCOPE-I-09 (explicit baseline mapping)</x:v>
      </x:c>
      <x:c r="E32" s="10" t="str">
        <x:v>Given a category with a configured target of T hours and a request open for more than T hours in a non-terminal status, when the dashboard or queue is viewed, then that request is flagged overdue; and a request open for less than T hours is not flagged.</x:v>
      </x:c>
      <x:c r="F32" s="10" t="str">
        <x:v>GAP</x:v>
      </x:c>
      <x:c r="G32" s="20" t="str">
        <x:v>Yes</x:v>
      </x:c>
      <x:c r="H32" s="20" t="str"/>
      <x:c r="I32" s="20" t="str"/>
      <x:c r="J32" s="20" t="str"/>
      <x:c r="K32" s="20" t="str"/>
      <x:c r="L32" s="20" t="str"/>
      <x:c r="M32" s="20" t="str"/>
      <x:c r="N32" s="21" t="str">
        <x:f>IF(G32="No","",IF(I32="Met",1,IF(I32="Partially Met",0.5,IF(I32="Not Met",0,""))))</x:f>
      </x:c>
      <x:c r="O32" s="9" t="str">
        <x:f>IF(G32="No",IF(L32="","Missing change ref","Excluded with change ref"),IF(G32&lt;&gt;"Yes","Confirm applicability",IF(OR(H32="",I32="",J32="",K32="",AND(I32&lt;&gt;"Met",I32&lt;&gt;"Partially Met",I32&lt;&gt;"Not Met")),"Missing status/evidence",IF(AND(H32="CHANGED/REMOVED THROUGH APPROVED CHANGE",L32=""),"Missing change ref",IF(AND(C32="Must",I32&lt;&gt;"Met",M32=""),"Explain Must omission","Ready")))))</x:f>
        <x:v>Missing status/evidence</x:v>
      </x:c>
    </x:row>
    <x:row r="33" ht="90" customHeight="1">
      <x:c r="A33" s="9" t="str">
        <x:v>FR-022</x:v>
      </x:c>
      <x:c r="B33" s="9" t="str">
        <x:v>AC-022</x:v>
      </x:c>
      <x:c r="C33" s="9" t="str">
        <x:v>Should</x:v>
      </x:c>
      <x:c r="D33" s="9" t="str">
        <x:v>SCOPE-I-10 (explicit baseline mapping)</x:v>
      </x:c>
      <x:c r="E33" s="9" t="str">
        <x:v>Given a filtered request list of n rows, when export is selected, then a CSV file is produced containing exactly n data rows with a header row and the same field values as displayed.</x:v>
      </x:c>
      <x:c r="F33" s="9" t="str">
        <x:v>GAP</x:v>
      </x:c>
      <x:c r="G33" s="20" t="str">
        <x:v>Yes</x:v>
      </x:c>
      <x:c r="H33" s="20" t="str"/>
      <x:c r="I33" s="20" t="str"/>
      <x:c r="J33" s="20" t="str"/>
      <x:c r="K33" s="20" t="str"/>
      <x:c r="L33" s="20" t="str"/>
      <x:c r="M33" s="20" t="str"/>
      <x:c r="N33" s="21" t="str">
        <x:f>IF(G33="No","",IF(I33="Met",1,IF(I33="Partially Met",0.5,IF(I33="Not Met",0,""))))</x:f>
      </x:c>
      <x:c r="O33" s="9" t="str">
        <x:f>IF(G33="No",IF(L33="","Missing change ref","Excluded with change ref"),IF(G33&lt;&gt;"Yes","Confirm applicability",IF(OR(H33="",I33="",J33="",K33="",AND(I33&lt;&gt;"Met",I33&lt;&gt;"Partially Met",I33&lt;&gt;"Not Met")),"Missing status/evidence",IF(AND(H33="CHANGED/REMOVED THROUGH APPROVED CHANGE",L33=""),"Missing change ref",IF(AND(C33="Must",I33&lt;&gt;"Met",M33=""),"Explain Must omission","Ready")))))</x:f>
        <x:v>Missing status/evidence</x:v>
      </x:c>
    </x:row>
    <x:row r="34" ht="90" customHeight="1">
      <x:c r="A34" s="10" t="str">
        <x:v>FR-023</x:v>
      </x:c>
      <x:c r="B34" s="10" t="str">
        <x:v>AC-023</x:v>
      </x:c>
      <x:c r="C34" s="10" t="str">
        <x:v>Must</x:v>
      </x:c>
      <x:c r="D34" s="10" t="str">
        <x:v>SCOPE-I-11 (explicit baseline mapping)</x:v>
      </x:c>
      <x:c r="E34" s="10" t="str">
        <x:v>Given a category referenced by existing requests, when deactivation is attempted, then the category is deactivated for new submissions while existing requests retain it; and deletion that would orphan a request is refused.</x:v>
      </x:c>
      <x:c r="F34" s="10" t="str">
        <x:v>PARTIAL</x:v>
      </x:c>
      <x:c r="G34" s="20" t="str">
        <x:v>Yes</x:v>
      </x:c>
      <x:c r="H34" s="20" t="str"/>
      <x:c r="I34" s="20" t="str"/>
      <x:c r="J34" s="20" t="str"/>
      <x:c r="K34" s="20" t="str"/>
      <x:c r="L34" s="20" t="str"/>
      <x:c r="M34" s="20" t="str"/>
      <x:c r="N34" s="21" t="str">
        <x:f>IF(G34="No","",IF(I34="Met",1,IF(I34="Partially Met",0.5,IF(I34="Not Met",0,""))))</x:f>
      </x:c>
      <x:c r="O34" s="9" t="str">
        <x:f>IF(G34="No",IF(L34="","Missing change ref","Excluded with change ref"),IF(G34&lt;&gt;"Yes","Confirm applicability",IF(OR(H34="",I34="",J34="",K34="",AND(I34&lt;&gt;"Met",I34&lt;&gt;"Partially Met",I34&lt;&gt;"Not Met")),"Missing status/evidence",IF(AND(H34="CHANGED/REMOVED THROUGH APPROVED CHANGE",L34=""),"Missing change ref",IF(AND(C34="Must",I34&lt;&gt;"Met",M34=""),"Explain Must omission","Ready")))))</x:f>
        <x:v>Missing status/evidence</x:v>
      </x:c>
    </x:row>
    <x:row r="35" ht="90" customHeight="1">
      <x:c r="A35" s="9" t="str">
        <x:v>FR-024</x:v>
      </x:c>
      <x:c r="B35" s="9" t="str">
        <x:v>AC-024</x:v>
      </x:c>
      <x:c r="C35" s="9" t="str">
        <x:v>Must</x:v>
      </x:c>
      <x:c r="D35" s="9" t="str">
        <x:v>SCOPE-I-11 (explicit baseline mapping)</x:v>
      </x:c>
      <x:c r="E35" s="9" t="str">
        <x:v>Given an active user with assigned open requests, when the account is deactivated, then the user can no longer sign in, the assigned requests remain visible to the Manager for reassignment, and the change is written to the audit trail.</x:v>
      </x:c>
      <x:c r="F35" s="9" t="str">
        <x:v>GAP</x:v>
      </x:c>
      <x:c r="G35" s="20" t="str">
        <x:v>Yes</x:v>
      </x:c>
      <x:c r="H35" s="20" t="str"/>
      <x:c r="I35" s="20" t="str"/>
      <x:c r="J35" s="20" t="str"/>
      <x:c r="K35" s="20" t="str"/>
      <x:c r="L35" s="20" t="str"/>
      <x:c r="M35" s="20" t="str"/>
      <x:c r="N35" s="21" t="str">
        <x:f>IF(G35="No","",IF(I35="Met",1,IF(I35="Partially Met",0.5,IF(I35="Not Met",0,""))))</x:f>
      </x:c>
      <x:c r="O35" s="9" t="str">
        <x:f>IF(G35="No",IF(L35="","Missing change ref","Excluded with change ref"),IF(G35&lt;&gt;"Yes","Confirm applicability",IF(OR(H35="",I35="",J35="",K35="",AND(I35&lt;&gt;"Met",I35&lt;&gt;"Partially Met",I35&lt;&gt;"Not Met")),"Missing status/evidence",IF(AND(H35="CHANGED/REMOVED THROUGH APPROVED CHANGE",L35=""),"Missing change ref",IF(AND(C35="Must",I35&lt;&gt;"Met",M35=""),"Explain Must omission","Ready")))))</x:f>
        <x:v>Missing status/evidence</x:v>
      </x:c>
    </x:row>
    <x:row r="36" ht="90" customHeight="1">
      <x:c r="A36" s="10" t="str">
        <x:v>FR-025</x:v>
      </x:c>
      <x:c r="B36" s="10" t="str">
        <x:v>AC-025</x:v>
      </x:c>
      <x:c r="C36" s="10" t="str">
        <x:v>Must</x:v>
      </x:c>
      <x:c r="D36" s="10" t="str">
        <x:v>SCOPE-I-12 (explicit baseline mapping)</x:v>
      </x:c>
      <x:c r="E36" s="10" t="str">
        <x:v>Given a request that has undergone k status or assignment changes, when the history is viewed, then exactly k ordered entries are shown each with actor, UTC timestamp, previous value and new value; and no application function exists that edits or deletes an entry.</x:v>
      </x:c>
      <x:c r="F36" s="10" t="str">
        <x:v>FAILED</x:v>
      </x:c>
      <x:c r="G36" s="20" t="str">
        <x:v>Yes</x:v>
      </x:c>
      <x:c r="H36" s="20" t="str"/>
      <x:c r="I36" s="20" t="str"/>
      <x:c r="J36" s="20" t="str"/>
      <x:c r="K36" s="20" t="str"/>
      <x:c r="L36" s="20" t="str"/>
      <x:c r="M36" s="20" t="str"/>
      <x:c r="N36" s="21" t="str">
        <x:f>IF(G36="No","",IF(I36="Met",1,IF(I36="Partially Met",0.5,IF(I36="Not Met",0,""))))</x:f>
      </x:c>
      <x:c r="O36" s="9" t="str">
        <x:f>IF(G36="No",IF(L36="","Missing change ref","Excluded with change ref"),IF(G36&lt;&gt;"Yes","Confirm applicability",IF(OR(H36="",I36="",J36="",K36="",AND(I36&lt;&gt;"Met",I36&lt;&gt;"Partially Met",I36&lt;&gt;"Not Met")),"Missing status/evidence",IF(AND(H36="CHANGED/REMOVED THROUGH APPROVED CHANGE",L36=""),"Missing change ref",IF(AND(C36="Must",I36&lt;&gt;"Met",M36=""),"Explain Must omission","Ready")))))</x:f>
        <x:v>Missing status/evidence</x:v>
      </x:c>
    </x:row>
    <x:row r="37" ht="90" customHeight="1">
      <x:c r="A37" s="9" t="str">
        <x:v>FR-026</x:v>
      </x:c>
      <x:c r="B37" s="9" t="str">
        <x:v>AC-026</x:v>
      </x:c>
      <x:c r="C37" s="9" t="str">
        <x:v>Could</x:v>
      </x:c>
      <x:c r="D37" s="9" t="str">
        <x:v>No explicit scope-row mapping; retained Could baseline requirement; applicability needs clarification</x:v>
      </x:c>
      <x:c r="E37" s="9" t="str">
        <x:v>Given an existing open request with category C and location L, when a Requester submits a new request with category C and location L, then a warning listing the possible duplicate is displayed and the Requester may confirm or cancel.</x:v>
      </x:c>
      <x:c r="F37" s="9" t="str">
        <x:v>GAP</x:v>
      </x:c>
      <x:c r="G37" s="20" t="str">
        <x:v>Yes</x:v>
      </x:c>
      <x:c r="H37" s="20" t="str"/>
      <x:c r="I37" s="20" t="str"/>
      <x:c r="J37" s="20" t="str"/>
      <x:c r="K37" s="20" t="str"/>
      <x:c r="L37" s="20" t="str"/>
      <x:c r="M37" s="20" t="str"/>
      <x:c r="N37" s="21" t="str">
        <x:f>IF(G37="No","",IF(I37="Met",1,IF(I37="Partially Met",0.5,IF(I37="Not Met",0,""))))</x:f>
      </x:c>
      <x:c r="O37" s="9" t="str">
        <x:f>IF(G37="No",IF(L37="","Missing change ref","Excluded with change ref"),IF(G37&lt;&gt;"Yes","Confirm applicability",IF(OR(H37="",I37="",J37="",K37="",AND(I37&lt;&gt;"Met",I37&lt;&gt;"Partially Met",I37&lt;&gt;"Not Met")),"Missing status/evidence",IF(AND(H37="CHANGED/REMOVED THROUGH APPROVED CHANGE",L37=""),"Missing change ref",IF(AND(C37="Must",I37&lt;&gt;"Met",M37=""),"Explain Must omission","Ready")))))</x:f>
        <x:v>Missing status/evidence</x:v>
      </x:c>
    </x:row>
    <x:row r="38" ht="90" customHeight="1">
      <x:c r="A38" s="10" t="str">
        <x:v>NFR-001</x:v>
      </x:c>
      <x:c r="B38" s="10" t="str">
        <x:v>AC-N001</x:v>
      </x:c>
      <x:c r="C38" s="10" t="str">
        <x:v>Must</x:v>
      </x:c>
      <x:c r="D38" s="10" t="str">
        <x:v>Cross-cutting NFR; no explicit scope-row mapping in baseline CSV</x:v>
      </x:c>
      <x:c r="E38" s="10" t="str">
        <x:v>A load test of 10 concurrent users over 5 minutes against a 500-record data set reports a 95th percentile response time of 2.0 seconds or less. Cold-start latency is measured and reported separately (see NFR-002).</x:v>
      </x:c>
      <x:c r="F38" s="10" t="str">
        <x:v>GAP</x:v>
      </x:c>
      <x:c r="G38" s="20" t="str">
        <x:v>Yes</x:v>
      </x:c>
      <x:c r="H38" s="20" t="str"/>
      <x:c r="I38" s="20" t="str"/>
      <x:c r="J38" s="20" t="str"/>
      <x:c r="K38" s="20" t="str"/>
      <x:c r="L38" s="20" t="str"/>
      <x:c r="M38" s="20" t="str"/>
      <x:c r="N38" s="21" t="str">
        <x:f>IF(G38="No","",IF(I38="Met",1,IF(I38="Partially Met",0.5,IF(I38="Not Met",0,""))))</x:f>
      </x:c>
      <x:c r="O38" s="9" t="str">
        <x:f>IF(G38="No",IF(L38="","Missing change ref","Excluded with change ref"),IF(G38&lt;&gt;"Yes","Confirm applicability",IF(OR(H38="",I38="",J38="",K38="",AND(I38&lt;&gt;"Met",I38&lt;&gt;"Partially Met",I38&lt;&gt;"Not Met")),"Missing status/evidence",IF(AND(H38="CHANGED/REMOVED THROUGH APPROVED CHANGE",L38=""),"Missing change ref",IF(AND(C38="Must",I38&lt;&gt;"Met",M38=""),"Explain Must omission","Ready")))))</x:f>
        <x:v>Missing status/evidence</x:v>
      </x:c>
    </x:row>
    <x:row r="39" ht="90" customHeight="1">
      <x:c r="A39" s="9" t="str">
        <x:v>NFR-002</x:v>
      </x:c>
      <x:c r="B39" s="9" t="str">
        <x:v>AC-N002</x:v>
      </x:c>
      <x:c r="C39" s="9" t="str">
        <x:v>Should</x:v>
      </x:c>
      <x:c r="D39" s="9" t="str">
        <x:v>Cross-cutting NFR; no explicit scope-row mapping in baseline CSV</x:v>
      </x:c>
      <x:c r="E39" s="9" t="str">
        <x:v>An uptime log across the evaluation period shows availability of 95% or more within the stated window, and the observed cold-start latency is recorded as a known limitation in the PED.</x:v>
      </x:c>
      <x:c r="F39" s="9" t="str">
        <x:v>AWAITING EVIDENCE</x:v>
      </x:c>
      <x:c r="G39" s="20" t="str">
        <x:v>Yes</x:v>
      </x:c>
      <x:c r="H39" s="20" t="str"/>
      <x:c r="I39" s="20" t="str"/>
      <x:c r="J39" s="20" t="str"/>
      <x:c r="K39" s="20" t="str"/>
      <x:c r="L39" s="20" t="str"/>
      <x:c r="M39" s="20" t="str"/>
      <x:c r="N39" s="21" t="str">
        <x:f>IF(G39="No","",IF(I39="Met",1,IF(I39="Partially Met",0.5,IF(I39="Not Met",0,""))))</x:f>
      </x:c>
      <x:c r="O39" s="9" t="str">
        <x:f>IF(G39="No",IF(L39="","Missing change ref","Excluded with change ref"),IF(G39&lt;&gt;"Yes","Confirm applicability",IF(OR(H39="",I39="",J39="",K39="",AND(I39&lt;&gt;"Met",I39&lt;&gt;"Partially Met",I39&lt;&gt;"Not Met")),"Missing status/evidence",IF(AND(H39="CHANGED/REMOVED THROUGH APPROVED CHANGE",L39=""),"Missing change ref",IF(AND(C39="Must",I39&lt;&gt;"Met",M39=""),"Explain Must omission","Ready")))))</x:f>
        <x:v>Missing status/evidence</x:v>
      </x:c>
    </x:row>
    <x:row r="40" ht="90" customHeight="1">
      <x:c r="A40" s="10" t="str">
        <x:v>NFR-003</x:v>
      </x:c>
      <x:c r="B40" s="10" t="str">
        <x:v>AC-N003</x:v>
      </x:c>
      <x:c r="C40" s="10" t="str">
        <x:v>Must</x:v>
      </x:c>
      <x:c r="D40" s="10" t="str">
        <x:v>SCOPE-I-01 (explicit baseline mapping)</x:v>
      </x:c>
      <x:c r="E40" s="10" t="str">
        <x:v>Inspection of the stored user records shows no plaintext or reversible password value, and code review confirms the hashing algorithm and cost factor.</x:v>
      </x:c>
      <x:c r="F40" s="10" t="str">
        <x:v>GAP</x:v>
      </x:c>
      <x:c r="G40" s="20" t="str">
        <x:v>Yes</x:v>
      </x:c>
      <x:c r="H40" s="20" t="str"/>
      <x:c r="I40" s="20" t="str"/>
      <x:c r="J40" s="20" t="str"/>
      <x:c r="K40" s="20" t="str"/>
      <x:c r="L40" s="20" t="str"/>
      <x:c r="M40" s="20" t="str"/>
      <x:c r="N40" s="21" t="str">
        <x:f>IF(G40="No","",IF(I40="Met",1,IF(I40="Partially Met",0.5,IF(I40="Not Met",0,""))))</x:f>
      </x:c>
      <x:c r="O40" s="9" t="str">
        <x:f>IF(G40="No",IF(L40="","Missing change ref","Excluded with change ref"),IF(G40&lt;&gt;"Yes","Confirm applicability",IF(OR(H40="",I40="",J40="",K40="",AND(I40&lt;&gt;"Met",I40&lt;&gt;"Partially Met",I40&lt;&gt;"Not Met")),"Missing status/evidence",IF(AND(H40="CHANGED/REMOVED THROUGH APPROVED CHANGE",L40=""),"Missing change ref",IF(AND(C40="Must",I40&lt;&gt;"Met",M40=""),"Explain Must omission","Ready")))))</x:f>
        <x:v>Missing status/evidence</x:v>
      </x:c>
    </x:row>
    <x:row r="41" ht="90" customHeight="1">
      <x:c r="A41" s="9" t="str">
        <x:v>NFR-004</x:v>
      </x:c>
      <x:c r="B41" s="9" t="str">
        <x:v>AC-N004</x:v>
      </x:c>
      <x:c r="C41" s="9" t="str">
        <x:v>Must</x:v>
      </x:c>
      <x:c r="D41" s="9" t="str">
        <x:v>SCOPE-I-01 (explicit baseline mapping)</x:v>
      </x:c>
      <x:c r="E41" s="9" t="str">
        <x:v>An automated test matrix covering every role against every restricted operation reports zero unauthorised successes.</x:v>
      </x:c>
      <x:c r="F41" s="9" t="str">
        <x:v>FAILED</x:v>
      </x:c>
      <x:c r="G41" s="20" t="str">
        <x:v>Yes</x:v>
      </x:c>
      <x:c r="H41" s="20" t="str"/>
      <x:c r="I41" s="20" t="str"/>
      <x:c r="J41" s="20" t="str"/>
      <x:c r="K41" s="20" t="str"/>
      <x:c r="L41" s="20" t="str"/>
      <x:c r="M41" s="20" t="str"/>
      <x:c r="N41" s="21" t="str">
        <x:f>IF(G41="No","",IF(I41="Met",1,IF(I41="Partially Met",0.5,IF(I41="Not Met",0,""))))</x:f>
      </x:c>
      <x:c r="O41" s="9" t="str">
        <x:f>IF(G41="No",IF(L41="","Missing change ref","Excluded with change ref"),IF(G41&lt;&gt;"Yes","Confirm applicability",IF(OR(H41="",I41="",J41="",K41="",AND(I41&lt;&gt;"Met",I41&lt;&gt;"Partially Met",I41&lt;&gt;"Not Met")),"Missing status/evidence",IF(AND(H41="CHANGED/REMOVED THROUGH APPROVED CHANGE",L41=""),"Missing change ref",IF(AND(C41="Must",I41&lt;&gt;"Met",M41=""),"Explain Must omission","Ready")))))</x:f>
        <x:v>Missing status/evidence</x:v>
      </x:c>
    </x:row>
    <x:row r="42" ht="90" customHeight="1">
      <x:c r="A42" s="10" t="str">
        <x:v>NFR-005</x:v>
      </x:c>
      <x:c r="B42" s="10" t="str">
        <x:v>AC-N005</x:v>
      </x:c>
      <x:c r="C42" s="10" t="str">
        <x:v>Must</x:v>
      </x:c>
      <x:c r="D42" s="10" t="str">
        <x:v>Cross-cutting NFR; no explicit scope-row mapping in baseline CSV</x:v>
      </x:c>
      <x:c r="E42" s="10" t="str">
        <x:v>An automated secret scan on every pull request and a full-history scan both report zero findings.</x:v>
      </x:c>
      <x:c r="F42" s="10" t="str">
        <x:v>FAILED / EVIDENCE GAP</x:v>
      </x:c>
      <x:c r="G42" s="20" t="str">
        <x:v>Yes</x:v>
      </x:c>
      <x:c r="H42" s="20" t="str"/>
      <x:c r="I42" s="20" t="str"/>
      <x:c r="J42" s="20" t="str"/>
      <x:c r="K42" s="20" t="str"/>
      <x:c r="L42" s="20" t="str"/>
      <x:c r="M42" s="20" t="str"/>
      <x:c r="N42" s="21" t="str">
        <x:f>IF(G42="No","",IF(I42="Met",1,IF(I42="Partially Met",0.5,IF(I42="Not Met",0,""))))</x:f>
      </x:c>
      <x:c r="O42" s="9" t="str">
        <x:f>IF(G42="No",IF(L42="","Missing change ref","Excluded with change ref"),IF(G42&lt;&gt;"Yes","Confirm applicability",IF(OR(H42="",I42="",J42="",K42="",AND(I42&lt;&gt;"Met",I42&lt;&gt;"Partially Met",I42&lt;&gt;"Not Met")),"Missing status/evidence",IF(AND(H42="CHANGED/REMOVED THROUGH APPROVED CHANGE",L42=""),"Missing change ref",IF(AND(C42="Must",I42&lt;&gt;"Met",M42=""),"Explain Must omission","Ready")))))</x:f>
        <x:v>Missing status/evidence</x:v>
      </x:c>
    </x:row>
    <x:row r="43" ht="90" customHeight="1">
      <x:c r="A43" s="9" t="str">
        <x:v>NFR-006</x:v>
      </x:c>
      <x:c r="B43" s="9" t="str">
        <x:v>AC-N006</x:v>
      </x:c>
      <x:c r="C43" s="9" t="str">
        <x:v>Must</x:v>
      </x:c>
      <x:c r="D43" s="9" t="str">
        <x:v>SCOPE-I-12 (explicit baseline mapping)</x:v>
      </x:c>
      <x:c r="E43" s="9" t="str">
        <x:v>For a scripted sequence of k changes, the audit record contains exactly k entries with all four fields populated, and no application endpoint accepts an update or delete against an audit entry.</x:v>
      </x:c>
      <x:c r="F43" s="9" t="str">
        <x:v>FAILED</x:v>
      </x:c>
      <x:c r="G43" s="20" t="str">
        <x:v>Yes</x:v>
      </x:c>
      <x:c r="H43" s="20" t="str"/>
      <x:c r="I43" s="20" t="str"/>
      <x:c r="J43" s="20" t="str"/>
      <x:c r="K43" s="20" t="str"/>
      <x:c r="L43" s="20" t="str"/>
      <x:c r="M43" s="20" t="str"/>
      <x:c r="N43" s="21" t="str">
        <x:f>IF(G43="No","",IF(I43="Met",1,IF(I43="Partially Met",0.5,IF(I43="Not Met",0,""))))</x:f>
      </x:c>
      <x:c r="O43" s="9" t="str">
        <x:f>IF(G43="No",IF(L43="","Missing change ref","Excluded with change ref"),IF(G43&lt;&gt;"Yes","Confirm applicability",IF(OR(H43="",I43="",J43="",K43="",AND(I43&lt;&gt;"Met",I43&lt;&gt;"Partially Met",I43&lt;&gt;"Not Met")),"Missing status/evidence",IF(AND(H43="CHANGED/REMOVED THROUGH APPROVED CHANGE",L43=""),"Missing change ref",IF(AND(C43="Must",I43&lt;&gt;"Met",M43=""),"Explain Must omission","Ready")))))</x:f>
        <x:v>Missing status/evidence</x:v>
      </x:c>
    </x:row>
    <x:row r="44" ht="90" customHeight="1">
      <x:c r="A44" s="10" t="str">
        <x:v>NFR-007</x:v>
      </x:c>
      <x:c r="B44" s="10" t="str">
        <x:v>AC-N007</x:v>
      </x:c>
      <x:c r="C44" s="10" t="str">
        <x:v>Should</x:v>
      </x:c>
      <x:c r="D44" s="10" t="str">
        <x:v>Cross-cutting NFR; no explicit scope-row mapping in baseline CSV</x:v>
      </x:c>
      <x:c r="E44" s="10" t="str">
        <x:v>In a moderated test with 5 representative participants, at least 4 complete a valid submission unaided within 3 minutes.</x:v>
      </x:c>
      <x:c r="F44" s="10" t="str">
        <x:v>AWAITING EVIDENCE</x:v>
      </x:c>
      <x:c r="G44" s="20" t="str">
        <x:v>Yes</x:v>
      </x:c>
      <x:c r="H44" s="20" t="str"/>
      <x:c r="I44" s="20" t="str"/>
      <x:c r="J44" s="20" t="str"/>
      <x:c r="K44" s="20" t="str"/>
      <x:c r="L44" s="20" t="str"/>
      <x:c r="M44" s="20" t="str"/>
      <x:c r="N44" s="21" t="str">
        <x:f>IF(G44="No","",IF(I44="Met",1,IF(I44="Partially Met",0.5,IF(I44="Not Met",0,""))))</x:f>
      </x:c>
      <x:c r="O44" s="9" t="str">
        <x:f>IF(G44="No",IF(L44="","Missing change ref","Excluded with change ref"),IF(G44&lt;&gt;"Yes","Confirm applicability",IF(OR(H44="",I44="",J44="",K44="",AND(I44&lt;&gt;"Met",I44&lt;&gt;"Partially Met",I44&lt;&gt;"Not Met")),"Missing status/evidence",IF(AND(H44="CHANGED/REMOVED THROUGH APPROVED CHANGE",L44=""),"Missing change ref",IF(AND(C44="Must",I44&lt;&gt;"Met",M44=""),"Explain Must omission","Ready")))))</x:f>
        <x:v>Missing status/evidence</x:v>
      </x:c>
    </x:row>
    <x:row r="45" ht="90" customHeight="1">
      <x:c r="A45" s="9" t="str">
        <x:v>NFR-008</x:v>
      </x:c>
      <x:c r="B45" s="9" t="str">
        <x:v>AC-N008</x:v>
      </x:c>
      <x:c r="C45" s="9" t="str">
        <x:v>Should</x:v>
      </x:c>
      <x:c r="D45" s="9" t="str">
        <x:v>Cross-cutting NFR; no explicit scope-row mapping in baseline CSV</x:v>
      </x:c>
      <x:c r="E45" s="9" t="str">
        <x:v>An automated accessibility check reports zero contrast or missing-label violations on the submission and request-detail screens, and the submission flow is completed using keyboard input only.</x:v>
      </x:c>
      <x:c r="F45" s="9" t="str">
        <x:v>PARTIAL</x:v>
      </x:c>
      <x:c r="G45" s="20" t="str">
        <x:v>Yes</x:v>
      </x:c>
      <x:c r="H45" s="20" t="str"/>
      <x:c r="I45" s="20" t="str"/>
      <x:c r="J45" s="20" t="str"/>
      <x:c r="K45" s="20" t="str"/>
      <x:c r="L45" s="20" t="str"/>
      <x:c r="M45" s="20" t="str"/>
      <x:c r="N45" s="21" t="str">
        <x:f>IF(G45="No","",IF(I45="Met",1,IF(I45="Partially Met",0.5,IF(I45="Not Met",0,""))))</x:f>
      </x:c>
      <x:c r="O45" s="9" t="str">
        <x:f>IF(G45="No",IF(L45="","Missing change ref","Excluded with change ref"),IF(G45&lt;&gt;"Yes","Confirm applicability",IF(OR(H45="",I45="",J45="",K45="",AND(I45&lt;&gt;"Met",I45&lt;&gt;"Partially Met",I45&lt;&gt;"Not Met")),"Missing status/evidence",IF(AND(H45="CHANGED/REMOVED THROUGH APPROVED CHANGE",L45=""),"Missing change ref",IF(AND(C45="Must",I45&lt;&gt;"Met",M45=""),"Explain Must omission","Ready")))))</x:f>
        <x:v>Missing status/evidence</x:v>
      </x:c>
    </x:row>
    <x:row r="46" ht="90" customHeight="1">
      <x:c r="A46" s="10" t="str">
        <x:v>NFR-009</x:v>
      </x:c>
      <x:c r="B46" s="10" t="str">
        <x:v>AC-N009</x:v>
      </x:c>
      <x:c r="C46" s="10" t="str">
        <x:v>Should</x:v>
      </x:c>
      <x:c r="D46" s="10" t="str">
        <x:v>Cross-cutting NFR; no explicit scope-row mapping in baseline CSV</x:v>
      </x:c>
      <x:c r="E46" s="10" t="str">
        <x:v>The pipeline coverage report shows 70% or more line coverage for the business/service layer and the static-analysis stage reports zero critical findings.</x:v>
      </x:c>
      <x:c r="F46" s="10" t="str">
        <x:v>PARTIAL</x:v>
      </x:c>
      <x:c r="G46" s="20" t="str">
        <x:v>Yes</x:v>
      </x:c>
      <x:c r="H46" s="20" t="str"/>
      <x:c r="I46" s="20" t="str"/>
      <x:c r="J46" s="20" t="str"/>
      <x:c r="K46" s="20" t="str"/>
      <x:c r="L46" s="20" t="str"/>
      <x:c r="M46" s="20" t="str"/>
      <x:c r="N46" s="21" t="str">
        <x:f>IF(G46="No","",IF(I46="Met",1,IF(I46="Partially Met",0.5,IF(I46="Not Met",0,""))))</x:f>
      </x:c>
      <x:c r="O46" s="9" t="str">
        <x:f>IF(G46="No",IF(L46="","Missing change ref","Excluded with change ref"),IF(G46&lt;&gt;"Yes","Confirm applicability",IF(OR(H46="",I46="",J46="",K46="",AND(I46&lt;&gt;"Met",I46&lt;&gt;"Partially Met",I46&lt;&gt;"Not Met")),"Missing status/evidence",IF(AND(H46="CHANGED/REMOVED THROUGH APPROVED CHANGE",L46=""),"Missing change ref",IF(AND(C46="Must",I46&lt;&gt;"Met",M46=""),"Explain Must omission","Ready")))))</x:f>
        <x:v>Missing status/evidence</x:v>
      </x:c>
    </x:row>
    <x:row r="47" ht="90" customHeight="1">
      <x:c r="A47" s="9" t="str">
        <x:v>NFR-010</x:v>
      </x:c>
      <x:c r="B47" s="9" t="str">
        <x:v>AC-N010</x:v>
      </x:c>
      <x:c r="C47" s="9" t="str">
        <x:v>Must</x:v>
      </x:c>
      <x:c r="D47" s="9" t="str">
        <x:v>Cross-cutting NFR; no explicit scope-row mapping in baseline CSV</x:v>
      </x:c>
      <x:c r="E47" s="9" t="str">
        <x:v>A platform cost review lists every service in use, its free-tier limit, current consumption against that limit, and a costed projection at the stated volume.</x:v>
      </x:c>
      <x:c r="F47" s="9" t="str">
        <x:v>AWAITING EVIDENCE</x:v>
      </x:c>
      <x:c r="G47" s="20" t="str">
        <x:v>Yes</x:v>
      </x:c>
      <x:c r="H47" s="20" t="str"/>
      <x:c r="I47" s="20" t="str"/>
      <x:c r="J47" s="20" t="str"/>
      <x:c r="K47" s="20" t="str"/>
      <x:c r="L47" s="20" t="str"/>
      <x:c r="M47" s="20" t="str"/>
      <x:c r="N47" s="21" t="str">
        <x:f>IF(G47="No","",IF(I47="Met",1,IF(I47="Partially Met",0.5,IF(I47="Not Met",0,""))))</x:f>
      </x:c>
      <x:c r="O47" s="9" t="str">
        <x:f>IF(G47="No",IF(L47="","Missing change ref","Excluded with change ref"),IF(G47&lt;&gt;"Yes","Confirm applicability",IF(OR(H47="",I47="",J47="",K47="",AND(I47&lt;&gt;"Met",I47&lt;&gt;"Partially Met",I47&lt;&gt;"Not Met")),"Missing status/evidence",IF(AND(H47="CHANGED/REMOVED THROUGH APPROVED CHANGE",L47=""),"Missing change ref",IF(AND(C47="Must",I47&lt;&gt;"Met",M47=""),"Explain Must omission","Ready")))))</x:f>
        <x:v>Missing status/evidence</x:v>
      </x:c>
    </x:row>
    <x:row r="48" ht="90" customHeight="1">
      <x:c r="A48" s="10" t="str">
        <x:v>NFR-011</x:v>
      </x:c>
      <x:c r="B48" s="10" t="str">
        <x:v>AC-N011</x:v>
      </x:c>
      <x:c r="C48" s="10" t="str">
        <x:v>Should</x:v>
      </x:c>
      <x:c r="D48" s="10" t="str">
        <x:v>Cross-cutting NFR; no explicit scope-row mapping in baseline CSV</x:v>
      </x:c>
      <x:c r="E48" s="10" t="str">
        <x:v>A backup schedule is evidenced, and a restore into a clean environment is performed and timed, producing a data set matching the source at the backup point within the stated RTO.</x:v>
      </x:c>
      <x:c r="F48" s="10" t="str">
        <x:v>FAILED</x:v>
      </x:c>
      <x:c r="G48" s="20" t="str">
        <x:v>Yes</x:v>
      </x:c>
      <x:c r="H48" s="20" t="str"/>
      <x:c r="I48" s="20" t="str"/>
      <x:c r="J48" s="20" t="str"/>
      <x:c r="K48" s="20" t="str"/>
      <x:c r="L48" s="20" t="str"/>
      <x:c r="M48" s="20" t="str"/>
      <x:c r="N48" s="21" t="str">
        <x:f>IF(G48="No","",IF(I48="Met",1,IF(I48="Partially Met",0.5,IF(I48="Not Met",0,""))))</x:f>
      </x:c>
      <x:c r="O48" s="9" t="str">
        <x:f>IF(G48="No",IF(L48="","Missing change ref","Excluded with change ref"),IF(G48&lt;&gt;"Yes","Confirm applicability",IF(OR(H48="",I48="",J48="",K48="",AND(I48&lt;&gt;"Met",I48&lt;&gt;"Partially Met",I48&lt;&gt;"Not Met")),"Missing status/evidence",IF(AND(H48="CHANGED/REMOVED THROUGH APPROVED CHANGE",L48=""),"Missing change ref",IF(AND(C48="Must",I48&lt;&gt;"Met",M48=""),"Explain Must omission","Ready")))))</x:f>
        <x:v>Missing status/evidence</x:v>
      </x:c>
    </x:row>
    <x:row r="49" ht="90" customHeight="1">
      <x:c r="A49" s="9" t="str">
        <x:v>NFR-012</x:v>
      </x:c>
      <x:c r="B49" s="9" t="str">
        <x:v>AC-N012</x:v>
      </x:c>
      <x:c r="C49" s="9" t="str">
        <x:v>Must</x:v>
      </x:c>
      <x:c r="D49" s="9" t="str">
        <x:v>Cross-cutting NFR; no explicit scope-row mapping in baseline CSV</x:v>
      </x:c>
      <x:c r="E49" s="9" t="str">
        <x:v>Negative-access tests confirm that a Requester and an unassigned Staff user cannot retrieve another requester's contact details through any interface, including direct record access.</x:v>
      </x:c>
      <x:c r="F49" s="9" t="str">
        <x:v>AWAITING EVIDENCE / SECURITY FAILURE</x:v>
      </x:c>
      <x:c r="G49" s="20" t="str">
        <x:v>Yes</x:v>
      </x:c>
      <x:c r="H49" s="20" t="str"/>
      <x:c r="I49" s="20" t="str"/>
      <x:c r="J49" s="20" t="str"/>
      <x:c r="K49" s="20" t="str"/>
      <x:c r="L49" s="20" t="str"/>
      <x:c r="M49" s="20" t="str"/>
      <x:c r="N49" s="21" t="str">
        <x:f>IF(G49="No","",IF(I49="Met",1,IF(I49="Partially Met",0.5,IF(I49="Not Met",0,""))))</x:f>
      </x:c>
      <x:c r="O49" s="9" t="str">
        <x:f>IF(G49="No",IF(L49="","Missing change ref","Excluded with change ref"),IF(G49&lt;&gt;"Yes","Confirm applicability",IF(OR(H49="",I49="",J49="",K49="",AND(I49&lt;&gt;"Met",I49&lt;&gt;"Partially Met",I49&lt;&gt;"Not Met")),"Missing status/evidence",IF(AND(H49="CHANGED/REMOVED THROUGH APPROVED CHANGE",L49=""),"Missing change ref",IF(AND(C49="Must",I49&lt;&gt;"Met",M49=""),"Explain Must omission","Ready")))))</x:f>
        <x:v>Missing status/evidence</x:v>
      </x:c>
    </x:row>
    <x:row r="50" ht="90" customHeight="1">
      <x:c r="A50" s="10" t="str">
        <x:v>NFR-013</x:v>
      </x:c>
      <x:c r="B50" s="10" t="str">
        <x:v>AC-N013</x:v>
      </x:c>
      <x:c r="C50" s="10" t="str">
        <x:v>Should</x:v>
      </x:c>
      <x:c r="D50" s="10" t="str">
        <x:v>Cross-cutting NFR; no explicit scope-row mapping in baseline CSV</x:v>
      </x:c>
      <x:c r="E50" s="10" t="str">
        <x:v>With 500 users and 5 000 requests seeded, storage consumption remains inside the documented free-tier limit and the NFR-001 load test still passes.</x:v>
      </x:c>
      <x:c r="F50" s="10" t="str">
        <x:v>GAP</x:v>
      </x:c>
      <x:c r="G50" s="20" t="str">
        <x:v>Yes</x:v>
      </x:c>
      <x:c r="H50" s="20" t="str"/>
      <x:c r="I50" s="20" t="str"/>
      <x:c r="J50" s="20" t="str"/>
      <x:c r="K50" s="20" t="str"/>
      <x:c r="L50" s="20" t="str"/>
      <x:c r="M50" s="20" t="str"/>
      <x:c r="N50" s="21" t="str">
        <x:f>IF(G50="No","",IF(I50="Met",1,IF(I50="Partially Met",0.5,IF(I50="Not Met",0,""))))</x:f>
      </x:c>
      <x:c r="O50" s="9" t="str">
        <x:f>IF(G50="No",IF(L50="","Missing change ref","Excluded with change ref"),IF(G50&lt;&gt;"Yes","Confirm applicability",IF(OR(H50="",I50="",J50="",K50="",AND(I50&lt;&gt;"Met",I50&lt;&gt;"Partially Met",I50&lt;&gt;"Not Met")),"Missing status/evidence",IF(AND(H50="CHANGED/REMOVED THROUGH APPROVED CHANGE",L50=""),"Missing change ref",IF(AND(C50="Must",I50&lt;&gt;"Met",M50=""),"Explain Must omission","Ready")))))</x:f>
        <x:v>Missing status/evidence</x:v>
      </x:c>
    </x:row>
    <x:row r="51" ht="90" customHeight="1">
      <x:c r="A51" s="9" t="str">
        <x:v>NFR-014</x:v>
      </x:c>
      <x:c r="B51" s="9" t="str">
        <x:v>AC-N014</x:v>
      </x:c>
      <x:c r="C51" s="9" t="str">
        <x:v>Must</x:v>
      </x:c>
      <x:c r="D51" s="9" t="str">
        <x:v>Cross-cutting NFR; no explicit scope-row mapping in baseline CSV</x:v>
      </x:c>
      <x:c r="E51" s="9" t="str">
        <x:v>For each input field, a boundary and an invalid-type case are submitted with client-side validation bypassed; every case is rejected server-side with a field-level message and the retained form values are redisplayed.</x:v>
      </x:c>
      <x:c r="F51" s="9" t="str">
        <x:v>PARTIAL</x:v>
      </x:c>
      <x:c r="G51" s="20" t="str">
        <x:v>Yes</x:v>
      </x:c>
      <x:c r="H51" s="20" t="str"/>
      <x:c r="I51" s="20" t="str"/>
      <x:c r="J51" s="20" t="str"/>
      <x:c r="K51" s="20" t="str"/>
      <x:c r="L51" s="20" t="str"/>
      <x:c r="M51" s="20" t="str"/>
      <x:c r="N51" s="21" t="str">
        <x:f>IF(G51="No","",IF(I51="Met",1,IF(I51="Partially Met",0.5,IF(I51="Not Met",0,""))))</x:f>
      </x:c>
      <x:c r="O51" s="9" t="str">
        <x:f>IF(G51="No",IF(L51="","Missing change ref","Excluded with change ref"),IF(G51&lt;&gt;"Yes","Confirm applicability",IF(OR(H51="",I51="",J51="",K51="",AND(I51&lt;&gt;"Met",I51&lt;&gt;"Partially Met",I51&lt;&gt;"Not Met")),"Missing status/evidence",IF(AND(H51="CHANGED/REMOVED THROUGH APPROVED CHANGE",L51=""),"Missing change ref",IF(AND(C51="Must",I51&lt;&gt;"Met",M51=""),"Explain Must omission","Ready")))))</x:f>
        <x:v>Missing status/evidence</x:v>
      </x:c>
    </x:row>
  </x:sheetData>
  <x:conditionalFormatting sqref="O12:O51">
    <x:cfRule type="containsText" dxfId="8" priority="1" operator="containsText" text="Missing"/>
  </x:conditionalFormatting>
  <x:conditionalFormatting sqref="B8:B8">
    <x:cfRule type="containsText" dxfId="9" priority="2" operator="containsText" text="NOT VERIFIED"/>
  </x:conditionalFormatting>
  <x:dataValidations count="4">
    <x:dataValidation type="list" sqref="B5">
      <x:formula1>"Pending,Confirmed"</x:formula1>
    </x:dataValidation>
    <x:dataValidation type="list" sqref="G12:G51">
      <x:formula1>"Yes,No"</x:formula1>
    </x:dataValidation>
    <x:dataValidation type="list" sqref="H12:H51">
      <x:formula1>"IMPLEMENTED,PARTIALLY IMPLEMENTED,NOT IMPLEMENTED,CHANGED/REMOVED THROUGH APPROVED CHANGE"</x:formula1>
    </x:dataValidation>
    <x:dataValidation type="list" sqref="I12:I51">
      <x:formula1>"Met,Partially Met,Not Met"</x:formula1>
    </x:dataValidation>
  </x:dataValidations>
  <x:pageMargins left="0.7" right="0.7" top="0.75" bottom="0.75" header="0.3" footer="0.3"/>
  <x:tableParts count="1">
    <x:tablePart xmlns:r="http://schemas.openxmlformats.org/officeDocument/2006/relationships" r:id="R89f4d941bc8d4915"/>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16" hidden="0" customWidth="1"/>
    <x:col min="3" max="3" width="32" hidden="0" customWidth="1"/>
    <x:col min="4" max="4" width="68" hidden="0" customWidth="1"/>
    <x:col min="5" max="5" width="16" hidden="0" customWidth="1"/>
    <x:col min="6" max="6" width="68" hidden="0" customWidth="1"/>
    <x:col min="7" max="7" width="16" hidden="0" customWidth="1"/>
    <x:col min="8" max="8" width="55" hidden="0" customWidth="1"/>
    <x:col min="9" max="9" width="55" hidden="0" customWidth="1"/>
    <x:col min="10" max="10" width="55" hidden="0" customWidth="1"/>
    <x:col min="11" max="11" width="55" hidden="0" customWidth="1"/>
    <x:col min="12" max="12" width="55" hidden="0" customWidth="1"/>
    <x:col min="13" max="13" width="32" hidden="0" customWidth="1"/>
    <x:col min="14" max="14" width="68" hidden="0" customWidth="1"/>
    <x:col min="15" max="15" width="32" hidden="0" customWidth="1"/>
    <x:col min="16" max="16" width="32" hidden="0" customWidth="1"/>
    <x:col min="17" max="17" width="32" hidden="0" customWidth="1"/>
    <x:col min="18" max="18" width="55" hidden="0" customWidth="1"/>
    <x:col min="19" max="19" width="55" hidden="0" customWidth="1"/>
    <x:col min="20" max="20" width="32" hidden="0" customWidth="1"/>
    <x:col min="21" max="21" width="56" hidden="0" customWidth="1"/>
    <x:col min="22" max="22" width="48" hidden="0" customWidth="1"/>
  </x:cols>
  <x:sheetData>
    <x:row r="2">
      <x:c r="A2" s="1" t="str">
        <x:v>Original baseline and implementation inventory</x:v>
      </x:c>
    </x:row>
    <x:row r="3">
      <x:c r="A3" t="str">
        <x:v>Reviewed main f874f5cba35cb326c7a3aabeaa0e183f4eedb4b4 | 17 October 2026 SAST | Recommendations; no repository edits or human signoff</x:v>
      </x:c>
    </x:row>
    <x:row r="5" ht="36" customHeight="1">
      <x:c r="A5" s="8" t="str">
        <x:v>Requirement ID</x:v>
      </x:c>
      <x:c r="B5" s="8" t="str">
        <x:v>TR ID</x:v>
      </x:c>
      <x:c r="C5" s="8" t="str">
        <x:v>Title</x:v>
      </x:c>
      <x:c r="D5" s="8" t="str">
        <x:v>Requirement wording</x:v>
      </x:c>
      <x:c r="E5" s="8" t="str">
        <x:v>AC ID</x:v>
      </x:c>
      <x:c r="F5" s="8" t="str">
        <x:v>Exact acceptance criterion</x:v>
      </x:c>
      <x:c r="G5" s="8" t="str">
        <x:v>MoSCoW</x:v>
      </x:c>
      <x:c r="H5" s="8" t="str">
        <x:v>Stakeholder/source</x:v>
      </x:c>
      <x:c r="I5" s="8" t="str">
        <x:v>Stakeholder need</x:v>
      </x:c>
      <x:c r="J5" s="8" t="str">
        <x:v>Scope item</x:v>
      </x:c>
      <x:c r="K5" s="8" t="str">
        <x:v>Baseline verification method</x:v>
      </x:c>
      <x:c r="L5" s="8" t="str">
        <x:v>Existing implementation</x:v>
      </x:c>
      <x:c r="M5" s="8" t="str">
        <x:v>Existing tests/evidence</x:v>
      </x:c>
      <x:c r="N5" s="8" t="str">
        <x:v>Missing behaviour/evidence</x:v>
      </x:c>
      <x:c r="O5" s="8" t="str">
        <x:v>Review disposition</x:v>
      </x:c>
      <x:c r="P5" s="8" t="str">
        <x:v>Acceptance conclusion</x:v>
      </x:c>
      <x:c r="Q5" s="8" t="str">
        <x:v>Recommended owner</x:v>
      </x:c>
      <x:c r="R5" s="8" t="str">
        <x:v>Verification case</x:v>
      </x:c>
      <x:c r="S5" s="8" t="str">
        <x:v>Design reference</x:v>
      </x:c>
      <x:c r="T5" s="8" t="str">
        <x:v>Existing addendum status</x:v>
      </x:c>
      <x:c r="U5" s="8" t="str">
        <x:v>Source URL</x:v>
      </x:c>
      <x:c r="V5" s="8" t="str">
        <x:v>Reviewed SHA</x:v>
      </x:c>
    </x:row>
    <x:row r="6" ht="70" customHeight="1">
      <x:c r="A6" s="10" t="str">
        <x:v>FR-001</x:v>
      </x:c>
      <x:c r="B6" s="10" t="str">
        <x:v>TR-026</x:v>
      </x:c>
      <x:c r="C6" s="10" t="str">
        <x:v>User account provisioning</x:v>
      </x:c>
      <x:c r="D6" s="10" t="str">
        <x:v>An Administrator shall create user accounts and assign exactly one role to each account; self-registered accounts shall default to the Requester role.</x:v>
      </x:c>
      <x:c r="E6" s="10" t="str">
        <x:v>AC-001</x:v>
      </x:c>
      <x:c r="F6" s="10" t="str">
        <x:v>Given an Administrator on the user administration screen, when a valid email and role are submitted, then an active account exists with that role and no other role, and the creation is written to the audit trail.</x:v>
      </x:c>
      <x:c r="G6" s="10" t="str">
        <x:v>Must</x:v>
      </x:c>
      <x:c r="H6" s="10" t="str">
        <x:v>SH-05 / CN-05</x:v>
      </x:c>
      <x:c r="I6" s="10" t="str">
        <x:v>Accounts must exist and carry exactly one role</x:v>
      </x:c>
      <x:c r="J6" s="10" t="str">
        <x:v>SCOPE-I-01 (explicit baseline mapping)</x:v>
      </x:c>
      <x:c r="K6" s="10" t="str">
        <x:v>Functional test + audit record inspection</x:v>
      </x:c>
      <x:c r="L6" s="10" t="str">
        <x:v>parseTokens supplies static token-role pairs only. No accounts, email, provisioning or creation audit.</x:v>
      </x:c>
      <x:c r="M6" s="10" t="str">
        <x:v>None</x:v>
      </x:c>
      <x:c r="N6" s="10" t="str">
        <x:v>Implement audited administrator creation, exactly one role, valid/duplicate email handling and active flag. Requirement also mentions default Requester self-registration; AC does not test it.</x:v>
      </x:c>
      <x:c r="O6" s="10" t="str">
        <x:v>GAP</x:v>
      </x:c>
      <x:c r="P6" s="10" t="str">
        <x:v>Not accepted; full criterion evidence incomplete</x:v>
      </x:c>
      <x:c r="Q6" s="10" t="str">
        <x:v>Masego</x:v>
      </x:c>
      <x:c r="R6" s="10" t="str">
        <x:v>FV-01</x:v>
      </x:c>
      <x:c r="S6" s="10" t="str">
        <x:v>DEC-008 Deferred; ADR-013 Proposed. No approved detailed design located.</x:v>
      </x:c>
      <x:c r="T6" s="10" t="str">
        <x:v>GAP — not implemented/tested</x:v>
      </x:c>
      <x:c r="U6" s="10" t="str">
        <x:v>https://github.com/Don-Sanvura/Civic-connect/blob/f874f5cba35cb326c7a3aabeaa0e183f4eedb4b4/docs/requirements/functional-requirements.csv</x:v>
      </x:c>
      <x:c r="V6" s="10" t="str">
        <x:v>f874f5cba35cb326c7a3aabeaa0e183f4eedb4b4</x:v>
      </x:c>
    </x:row>
    <x:row r="7" ht="70" customHeight="1">
      <x:c r="A7" s="9" t="str">
        <x:v>FR-002</x:v>
      </x:c>
      <x:c r="B7" s="9" t="str">
        <x:v>TR-027</x:v>
      </x:c>
      <x:c r="C7" s="9" t="str">
        <x:v>Authentication</x:v>
      </x:c>
      <x:c r="D7" s="9" t="str">
        <x:v>The system shall authenticate a user by email address and password before granting access to any function other than sign-in and password reset.</x:v>
      </x:c>
      <x:c r="E7" s="9" t="str">
        <x:v>AC-002</x:v>
      </x:c>
      <x:c r="F7" s="9" t="str">
        <x:v>Given an unauthenticated visitor, when any application URL other than sign-in or password reset is requested, then access is refused and the visitor is redirected to sign-in with no request data disclosed.</x:v>
      </x:c>
      <x:c r="G7" s="9" t="str">
        <x:v>Must</x:v>
      </x:c>
      <x:c r="H7" s="9" t="str">
        <x:v>SH-05, SH-09 / CN-05</x:v>
      </x:c>
      <x:c r="I7" s="9" t="str">
        <x:v>Only authenticated users may reach the system</x:v>
      </x:c>
      <x:c r="J7" s="9" t="str">
        <x:v>SCOPE-I-01 (explicit baseline mapping)</x:v>
      </x:c>
      <x:c r="K7" s="9" t="str">
        <x:v>Automated negative-access test</x:v>
      </x:c>
      <x:c r="L7" s="9" t="str">
        <x:v>authenticate validates Bearer tokens. Root and client script are public; there is no email/password sign-in or redirect.</x:v>
      </x:c>
      <x:c r="M7" s="9" t="str">
        <x:v>TST-020; QA-P08</x:v>
      </x:c>
      <x:c r="N7" s="9" t="str">
        <x:v>Email/password authentication and protected navigation are absent. Synthetic token replay confirmed by QA-P07. Implement stable user identity separated from secret material.</x:v>
      </x:c>
      <x:c r="O7" s="9" t="str">
        <x:v>FAILED</x:v>
      </x:c>
      <x:c r="P7" s="9" t="str">
        <x:v>Not accepted; demonstrated defect</x:v>
      </x:c>
      <x:c r="Q7" s="9" t="str">
        <x:v>Masego</x:v>
      </x:c>
      <x:c r="R7" s="9" t="str">
        <x:v>FV-02</x:v>
      </x:c>
      <x:c r="S7" s="9" t="str">
        <x:v>DEC-008 Deferred; ADR-013 Proposed. No approved detailed design located.</x:v>
      </x:c>
      <x:c r="T7" s="9" t="str">
        <x:v>GAP — not implemented/tested</x:v>
      </x:c>
      <x:c r="U7" s="9" t="str">
        <x:v>https://github.com/Don-Sanvura/Civic-connect/blob/f874f5cba35cb326c7a3aabeaa0e183f4eedb4b4/docs/requirements/functional-requirements.csv</x:v>
      </x:c>
      <x:c r="V7" s="9" t="str">
        <x:v>f874f5cba35cb326c7a3aabeaa0e183f4eedb4b4</x:v>
      </x:c>
    </x:row>
    <x:row r="8" ht="70" customHeight="1">
      <x:c r="A8" s="10" t="str">
        <x:v>FR-003</x:v>
      </x:c>
      <x:c r="B8" s="10" t="str">
        <x:v>TR-016</x:v>
      </x:c>
      <x:c r="C8" s="10" t="str">
        <x:v>Role-based access control</x:v>
      </x:c>
      <x:c r="D8" s="10" t="str">
        <x:v>The system shall enforce four roles - Requester, Staff, Manager, Administrator - and permit each role only the operations authorised for it.</x:v>
      </x:c>
      <x:c r="E8" s="10" t="str">
        <x:v>AC-003</x:v>
      </x:c>
      <x:c r="F8" s="10" t="str">
        <x:v>Given an authenticated user in role R, when an operation not authorised for R is attempted, then the operation is refused with an authorisation error and no state change occurs.</x:v>
      </x:c>
      <x:c r="G8" s="10" t="str">
        <x:v>Must</x:v>
      </x:c>
      <x:c r="H8" s="10" t="str">
        <x:v>SH-05, CN-05</x:v>
      </x:c>
      <x:c r="I8" s="10" t="str">
        <x:v>Access must be restricted by role</x:v>
      </x:c>
      <x:c r="J8" s="10" t="str">
        <x:v>SCOPE-I-01 (explicit baseline mapping)</x:v>
      </x:c>
      <x:c r="K8" s="10" t="str">
        <x:v>Automated role x operation matrix test (NFR-004)</x:v>
      </x:c>
      <x:c r="L8" s="10" t="str">
        <x:v>guard and record ownership checks cover a subset of operations; admin can assign and close without an approved permission table.</x:v>
      </x:c>
      <x:c r="M8" s="10" t="str">
        <x:v>TST-008,011,015,018,023,025; QA-P07</x:v>
      </x:c>
      <x:c r="N8" s="10" t="str">
        <x:v>Full role/operation policy is absent. Token disclosure permits impersonation. Confirm administrator inheritance rather than assuming it. Denied operations must preserve full record and audit.</x:v>
      </x:c>
      <x:c r="O8" s="10" t="str">
        <x:v>FAILED</x:v>
      </x:c>
      <x:c r="P8" s="10" t="str">
        <x:v>Not accepted; demonstrated defect</x:v>
      </x:c>
      <x:c r="Q8" s="10" t="str">
        <x:v>Masego</x:v>
      </x:c>
      <x:c r="R8" s="10" t="str">
        <x:v>FV-03</x:v>
      </x:c>
      <x:c r="S8" s="10" t="str">
        <x:v>DEC-008 Deferred; ADR-013 Proposed. No approved detailed design located.</x:v>
      </x:c>
      <x:c r="T8" s="10" t="str">
        <x:v>GAP — not implemented/tested</x:v>
      </x:c>
      <x:c r="U8" s="10" t="str">
        <x:v>https://github.com/Don-Sanvura/Civic-connect/blob/f874f5cba35cb326c7a3aabeaa0e183f4eedb4b4/docs/requirements/functional-requirements.csv</x:v>
      </x:c>
      <x:c r="V8" s="10" t="str">
        <x:v>f874f5cba35cb326c7a3aabeaa0e183f4eedb4b4</x:v>
      </x:c>
    </x:row>
    <x:row r="9" ht="70" customHeight="1">
      <x:c r="A9" s="9" t="str">
        <x:v>FR-004</x:v>
      </x:c>
      <x:c r="B9" s="9" t="str">
        <x:v>TR-028</x:v>
      </x:c>
      <x:c r="C9" s="9" t="str">
        <x:v>Password reset</x:v>
      </x:c>
      <x:c r="D9" s="9" t="str">
        <x:v>The system shall allow a user to reset a forgotten password through a single-use, time-limited link sent to the registered email address.</x:v>
      </x:c>
      <x:c r="E9" s="9" t="str">
        <x:v>AC-004</x:v>
      </x:c>
      <x:c r="F9" s="9" t="str">
        <x:v>Given a registered user requesting a reset, when the emailed link is used within its validity period, then a new password may be set; when the same link is reused or used after expiry, then it is refused.</x:v>
      </x:c>
      <x:c r="G9" s="9" t="str">
        <x:v>Should</x:v>
      </x:c>
      <x:c r="H9" s="9" t="str">
        <x:v>SH-01</x:v>
      </x:c>
      <x:c r="I9" s="9" t="str">
        <x:v>A user locked out must be able to regain access safely</x:v>
      </x:c>
      <x:c r="J9" s="9" t="str">
        <x:v>SCOPE-I-01 (explicit baseline mapping)</x:v>
      </x:c>
      <x:c r="K9" s="9" t="str">
        <x:v>Functional test, positive and negative</x:v>
      </x:c>
      <x:c r="L9" s="9" t="str">
        <x:v>No reset endpoint, email delivery, reset token, expiry or replay control.</x:v>
      </x:c>
      <x:c r="M9" s="9" t="str">
        <x:v>None</x:v>
      </x:c>
      <x:c r="N9" s="9" t="str">
        <x:v>Implement time-limited single-use reset, registered-address flow and expired/reused/invalid token cases.</x:v>
      </x:c>
      <x:c r="O9" s="9" t="str">
        <x:v>GAP</x:v>
      </x:c>
      <x:c r="P9" s="9" t="str">
        <x:v>Not accepted; full criterion evidence incomplete</x:v>
      </x:c>
      <x:c r="Q9" s="9" t="str">
        <x:v>Masego</x:v>
      </x:c>
      <x:c r="R9" s="9" t="str">
        <x:v>FV-04</x:v>
      </x:c>
      <x:c r="S9" s="9" t="str">
        <x:v>DEC-008 Deferred; ADR-013 Proposed. No approved detailed design located.</x:v>
      </x:c>
      <x:c r="T9" s="9" t="str">
        <x:v>GAP — not implemented/tested</x:v>
      </x:c>
      <x:c r="U9" s="9" t="str">
        <x:v>https://github.com/Don-Sanvura/Civic-connect/blob/f874f5cba35cb326c7a3aabeaa0e183f4eedb4b4/docs/requirements/functional-requirements.csv</x:v>
      </x:c>
      <x:c r="V9" s="9" t="str">
        <x:v>f874f5cba35cb326c7a3aabeaa0e183f4eedb4b4</x:v>
      </x:c>
    </x:row>
    <x:row r="10" ht="84" customHeight="1">
      <x:c r="A10" s="10" t="str">
        <x:v>FR-005</x:v>
      </x:c>
      <x:c r="B10" s="10" t="str">
        <x:v>TR-001</x:v>
      </x:c>
      <x:c r="C10" s="10" t="str">
        <x:v>Submit a service request</x:v>
      </x:c>
      <x:c r="D10" s="10" t="str">
        <x:v>A Requester shall submit a service request capturing title, description, category and location as mandatory information.</x:v>
      </x:c>
      <x:c r="E10" s="10" t="str">
        <x:v>AC-005</x:v>
      </x:c>
      <x:c r="F10" s="10" t="str">
        <x:v>Given an authenticated Requester with all four mandatory fields completed, when the request is submitted, then a request is stored with a unique reference, status New, the submitter recorded and a submission timestamp; and the reference is displayed to the Requester.</x:v>
      </x:c>
      <x:c r="G10" s="10" t="str">
        <x:v>Must</x:v>
      </x:c>
      <x:c r="H10" s="10" t="str">
        <x:v>SH-01 / Master Brief 2.0 - 'Requesters have limited visibility of whether a request was received'</x:v>
      </x:c>
      <x:c r="I10" s="10" t="str">
        <x:v>Requester must know a request was received and where it stands</x:v>
      </x:c>
      <x:c r="J10" s="10" t="str">
        <x:v>SCOPE-I-02 (explicit baseline mapping)</x:v>
      </x:c>
      <x:c r="K10" s="10" t="str">
        <x:v>Functional test + database inspection</x:v>
      </x:c>
      <x:c r="L10" s="10" t="str">
        <x:v>createRequest validates four fields, generates UUID, records requester/time/New and returns clone. Browser displays reference. Map storage is volatile.</x:v>
      </x:c>
      <x:c r="M10" s="10" t="str">
        <x:v>TST-001,006,020,022,028; QA-P10</x:v>
      </x:c>
      <x:c r="N10" s="10" t="str">
        <x:v>Assert two unique references, every stored field, author/time, browser reference and durable readback. TST-001 does not prove uniqueness or database storage.</x:v>
      </x:c>
      <x:c r="O10" s="10" t="str">
        <x:v>PARTIAL</x:v>
      </x:c>
      <x:c r="P10" s="10" t="str">
        <x:v>Not accepted; full criterion evidence incomplete</x:v>
      </x:c>
      <x:c r="Q10" s="10" t="str">
        <x:v>Masego</x:v>
      </x:c>
      <x:c r="R10" s="10" t="str">
        <x:v>FV-05</x:v>
      </x:c>
      <x:c r="S10" s="10" t="str">
        <x:v>DEC-008 Deferred; ADR-013 Proposed. No approved detailed design located.</x:v>
      </x:c>
      <x:c r="T10" s="10" t="str">
        <x:v>PARTIAL — verify exact baseline acceptance criteria</x:v>
      </x:c>
      <x:c r="U10" s="10" t="str">
        <x:v>https://github.com/Don-Sanvura/Civic-connect/blob/f874f5cba35cb326c7a3aabeaa0e183f4eedb4b4/docs/requirements/functional-requirements.csv</x:v>
      </x:c>
      <x:c r="V10" s="10" t="str">
        <x:v>f874f5cba35cb326c7a3aabeaa0e183f4eedb4b4</x:v>
      </x:c>
    </x:row>
    <x:row r="11" ht="70" customHeight="1">
      <x:c r="A11" s="9" t="str">
        <x:v>FR-006</x:v>
      </x:c>
      <x:c r="B11" s="9" t="str">
        <x:v>TR-013</x:v>
      </x:c>
      <x:c r="C11" s="9" t="str">
        <x:v>Controlled category selection</x:v>
      </x:c>
      <x:c r="D11" s="9" t="str">
        <x:v>The system shall require the Requester to select a category from a controlled list maintained by an Administrator, and shall reject free-text categories.</x:v>
      </x:c>
      <x:c r="E11" s="9" t="str">
        <x:v>AC-006</x:v>
      </x:c>
      <x:c r="F11" s="9" t="str">
        <x:v>Given the submission form, when no category is selected, then submission is refused with a field-level message; and the category selector offers only values from the active controlled list.</x:v>
      </x:c>
      <x:c r="G11" s="9" t="str">
        <x:v>Must</x:v>
      </x:c>
      <x:c r="H11" s="9" t="str">
        <x:v>SH-04 / CF-02</x:v>
      </x:c>
      <x:c r="I11" s="9" t="str">
        <x:v>Reporting must be possible by category without free-text noise</x:v>
      </x:c>
      <x:c r="J11" s="9" t="str">
        <x:v>SCOPE-I-02 (explicit baseline mapping)</x:v>
      </x:c>
      <x:c r="K11" s="9" t="str">
        <x:v>Functional test + boundary test</x:v>
      </x:c>
      <x:c r="L11" s="9" t="str">
        <x:v>Active controlled categoryMap, server rejection and browser select exist. Errors appear in general form message.</x:v>
      </x:c>
      <x:c r="M11" s="9" t="str">
        <x:v>TST-007,024</x:v>
      </x:c>
      <x:c r="N11" s="9" t="str">
        <x:v>Test empty/inactive/invalid-type category, active-list equality, field-associated server message and retained values with client validation bypassed.</x:v>
      </x:c>
      <x:c r="O11" s="9" t="str">
        <x:v>PARTIAL</x:v>
      </x:c>
      <x:c r="P11" s="9" t="str">
        <x:v>Not accepted; full criterion evidence incomplete</x:v>
      </x:c>
      <x:c r="Q11" s="9" t="str">
        <x:v>Masego</x:v>
      </x:c>
      <x:c r="R11" s="9" t="str">
        <x:v>FV-06</x:v>
      </x:c>
      <x:c r="S11" s="9" t="str">
        <x:v>DEC-008 Deferred; ADR-013 Proposed. No approved detailed design located.</x:v>
      </x:c>
      <x:c r="T11" s="9" t="str">
        <x:v>PARTIAL — verify exact baseline acceptance criteria</x:v>
      </x:c>
      <x:c r="U11" s="9" t="str">
        <x:v>https://github.com/Don-Sanvura/Civic-connect/blob/f874f5cba35cb326c7a3aabeaa0e183f4eedb4b4/docs/requirements/functional-requirements.csv</x:v>
      </x:c>
      <x:c r="V11" s="9" t="str">
        <x:v>f874f5cba35cb326c7a3aabeaa0e183f4eedb4b4</x:v>
      </x:c>
    </x:row>
    <x:row r="12" ht="70" customHeight="1">
      <x:c r="A12" s="10" t="str">
        <x:v>FR-007</x:v>
      </x:c>
      <x:c r="B12" s="10" t="str">
        <x:v>TR-002</x:v>
      </x:c>
      <x:c r="C12" s="10" t="str">
        <x:v>View status of own request</x:v>
      </x:c>
      <x:c r="D12" s="10" t="str">
        <x:v>A Requester shall view the current status of any request they submitted.</x:v>
      </x:c>
      <x:c r="E12" s="10" t="str">
        <x:v>AC-007</x:v>
      </x:c>
      <x:c r="F12" s="10" t="str">
        <x:v>Given a Requester with at least one submitted request, when the request is opened, then the current status, the date of the last status change and any resolution note are displayed.</x:v>
      </x:c>
      <x:c r="G12" s="10" t="str">
        <x:v>Must</x:v>
      </x:c>
      <x:c r="H12" s="10" t="str">
        <x:v>SH-01 / Master Brief 2.0</x:v>
      </x:c>
      <x:c r="I12" s="10" t="str">
        <x:v>Requester must know a request was received and where it stands</x:v>
      </x:c>
      <x:c r="J12" s="10" t="str">
        <x:v>SCOPE-I-03 (explicit baseline mapping)</x:v>
      </x:c>
      <x:c r="K12" s="10" t="str">
        <x:v>Functional test</x:v>
      </x:c>
      <x:c r="L12" s="10" t="str">
        <x:v>getRequest returns status, updatedAt, resolutionNote and history. List cards show status only; no detail action. updatedAt changes on assignment too.</x:v>
      </x:c>
      <x:c r="M12" s="10" t="str">
        <x:v>TST-028 indirectly; no exact AC case</x:v>
      </x:c>
      <x:c r="N12" s="10" t="str">
        <x:v>Display and verify last status-change date and resolution note on own detail screen; do not substitute last update timestamp.</x:v>
      </x:c>
      <x:c r="O12" s="10" t="str">
        <x:v>PARTIAL</x:v>
      </x:c>
      <x:c r="P12" s="10" t="str">
        <x:v>Not accepted; full criterion evidence incomplete</x:v>
      </x:c>
      <x:c r="Q12" s="10" t="str">
        <x:v>Masego</x:v>
      </x:c>
      <x:c r="R12" s="10" t="str">
        <x:v>FV-07</x:v>
      </x:c>
      <x:c r="S12" s="10" t="str">
        <x:v>DEC-008 Deferred; ADR-013 Proposed. No approved detailed design located.</x:v>
      </x:c>
      <x:c r="T12" s="10" t="str">
        <x:v>GAP — not implemented/tested</x:v>
      </x:c>
      <x:c r="U12" s="10" t="str">
        <x:v>https://github.com/Don-Sanvura/Civic-connect/blob/f874f5cba35cb326c7a3aabeaa0e183f4eedb4b4/docs/requirements/functional-requirements.csv</x:v>
      </x:c>
      <x:c r="V12" s="10" t="str">
        <x:v>f874f5cba35cb326c7a3aabeaa0e183f4eedb4b4</x:v>
      </x:c>
    </x:row>
    <x:row r="13" ht="70" customHeight="1">
      <x:c r="A13" s="9" t="str">
        <x:v>FR-008</x:v>
      </x:c>
      <x:c r="B13" s="9" t="str">
        <x:v>TR-003</x:v>
      </x:c>
      <x:c r="C13" s="9" t="str">
        <x:v>View own request history</x:v>
      </x:c>
      <x:c r="D13" s="9" t="str">
        <x:v>A Requester shall view a list of all requests they have previously submitted, most recent first.</x:v>
      </x:c>
      <x:c r="E13" s="9" t="str">
        <x:v>AC-008</x:v>
      </x:c>
      <x:c r="F13" s="9" t="str">
        <x:v>Given a Requester with n submitted requests, when the request list is opened, then exactly those n requests are listed with reference, category, submission date and status, and no request belonging to another user appears.</x:v>
      </x:c>
      <x:c r="G13" s="9" t="str">
        <x:v>Must</x:v>
      </x:c>
      <x:c r="H13" s="9" t="str">
        <x:v>SH-01 / Master Brief 2.0</x:v>
      </x:c>
      <x:c r="I13" s="9" t="str">
        <x:v>Requester must know a request was received and where it stands</x:v>
      </x:c>
      <x:c r="J13" s="9" t="str">
        <x:v>SCOPE-I-03 (explicit baseline mapping)</x:v>
      </x:c>
      <x:c r="K13" s="9" t="str">
        <x:v>Functional test + negative-access test</x:v>
      </x:c>
      <x:c r="L13" s="9" t="str">
        <x:v>listRequests filters owner and sorts descending createdAt. Browser cards omit submission date.</x:v>
      </x:c>
      <x:c r="M13" s="9" t="str">
        <x:v>TST-018; TST-028</x:v>
      </x:c>
      <x:c r="N13" s="9" t="str">
        <x:v>Seed n own and other users records with distinct times; verify exact membership, sort, required columns and no foreign data via list/detail/UI.</x:v>
      </x:c>
      <x:c r="O13" s="9" t="str">
        <x:v>PARTIAL</x:v>
      </x:c>
      <x:c r="P13" s="9" t="str">
        <x:v>Not accepted; full criterion evidence incomplete</x:v>
      </x:c>
      <x:c r="Q13" s="9" t="str">
        <x:v>Masego</x:v>
      </x:c>
      <x:c r="R13" s="9" t="str">
        <x:v>FV-08</x:v>
      </x:c>
      <x:c r="S13" s="9" t="str">
        <x:v>DEC-008 Deferred; ADR-013 Proposed. No approved detailed design located.</x:v>
      </x:c>
      <x:c r="T13" s="9" t="str">
        <x:v>PARTIAL — verify exact baseline acceptance criteria</x:v>
      </x:c>
      <x:c r="U13" s="9" t="str">
        <x:v>https://github.com/Don-Sanvura/Civic-connect/blob/f874f5cba35cb326c7a3aabeaa0e183f4eedb4b4/docs/requirements/functional-requirements.csv</x:v>
      </x:c>
      <x:c r="V13" s="9" t="str">
        <x:v>f874f5cba35cb326c7a3aabeaa0e183f4eedb4b4</x:v>
      </x:c>
    </x:row>
    <x:row r="14" ht="70" customHeight="1">
      <x:c r="A14" s="10" t="str">
        <x:v>FR-009</x:v>
      </x:c>
      <x:c r="B14" s="10" t="str">
        <x:v>TR-004</x:v>
      </x:c>
      <x:c r="C14" s="10" t="str">
        <x:v>Notify requester of state change</x:v>
      </x:c>
      <x:c r="D14" s="10" t="str">
        <x:v>The system shall notify the Requester in-app and by email when their request is accepted, rejected, updated with a comment, or completed.</x:v>
      </x:c>
      <x:c r="E14" s="10" t="str">
        <x:v>AC-009</x:v>
      </x:c>
      <x:c r="F14" s="10" t="str">
        <x:v>Given a request owned by Requester X, when its status changes to Accepted, Rejected or Resolved, then an in-app notification and an email are generated to X within 5 minutes, containing the reference, the new status and any reason.</x:v>
      </x:c>
      <x:c r="G14" s="10" t="str">
        <x:v>Must</x:v>
      </x:c>
      <x:c r="H14" s="10" t="str">
        <x:v>SH-01 / Master Brief 3.0 requester capabilities</x:v>
      </x:c>
      <x:c r="I14" s="10" t="str">
        <x:v>Requester must receive meaningful feedback on acceptance, rejection, update and completion</x:v>
      </x:c>
      <x:c r="J14" s="10" t="str">
        <x:v>SCOPE-I-04 (explicit baseline mapping)</x:v>
      </x:c>
      <x:c r="K14" s="10" t="str">
        <x:v>Functional test + notification log</x:v>
      </x:c>
      <x:c r="L14" s="10" t="str">
        <x:v>No notification store, dispatcher, in-app view or email integration.</x:v>
      </x:c>
      <x:c r="M14" s="10" t="str">
        <x:v>None</x:v>
      </x:c>
      <x:c r="N14" s="10" t="str">
        <x:v>Verify accept/reject/resolve within 5 minutes in both channels, recipient, reference, status and reason. Requirement additionally includes comment updates omitted from AC wording.</x:v>
      </x:c>
      <x:c r="O14" s="10" t="str">
        <x:v>GAP</x:v>
      </x:c>
      <x:c r="P14" s="10" t="str">
        <x:v>Not accepted; full criterion evidence incomplete</x:v>
      </x:c>
      <x:c r="Q14" s="10" t="str">
        <x:v>Masego</x:v>
      </x:c>
      <x:c r="R14" s="10" t="str">
        <x:v>FV-09</x:v>
      </x:c>
      <x:c r="S14" s="10" t="str">
        <x:v>DEC-008 Deferred; ADR-013 Proposed. No approved detailed design located.</x:v>
      </x:c>
      <x:c r="T14" s="10" t="str">
        <x:v>GAP — not implemented/tested</x:v>
      </x:c>
      <x:c r="U14" s="10" t="str">
        <x:v>https://github.com/Don-Sanvura/Civic-connect/blob/f874f5cba35cb326c7a3aabeaa0e183f4eedb4b4/docs/requirements/functional-requirements.csv</x:v>
      </x:c>
      <x:c r="V14" s="10" t="str">
        <x:v>f874f5cba35cb326c7a3aabeaa0e183f4eedb4b4</x:v>
      </x:c>
    </x:row>
    <x:row r="15" ht="84" customHeight="1">
      <x:c r="A15" s="9" t="str">
        <x:v>FR-010</x:v>
      </x:c>
      <x:c r="B15" s="9" t="str">
        <x:v>TR-023</x:v>
      </x:c>
      <x:c r="C15" s="9" t="str">
        <x:v>Comment thread on a request</x:v>
      </x:c>
      <x:c r="D15" s="9" t="str">
        <x:v>An authenticated Requester and authorised Staff shall exchange comments attached to a request record; personal contact details shall not be exposed.</x:v>
      </x:c>
      <x:c r="E15" s="9" t="str">
        <x:v>AC-010</x:v>
      </x:c>
      <x:c r="F15" s="9" t="str">
        <x:v>Given a request with an assigned staff member, when either party adds a comment, then the comment is stored against the request with author and timestamp and is visible to both, and no email address or telephone number of the other party is displayed.</x:v>
      </x:c>
      <x:c r="G15" s="9" t="str">
        <x:v>Should</x:v>
      </x:c>
      <x:c r="H15" s="9" t="str">
        <x:v>SH-01, SH-02 / CF-04</x:v>
      </x:c>
      <x:c r="I15" s="9" t="str">
        <x:v>Requester and staff must communicate without exposing personal contact details</x:v>
      </x:c>
      <x:c r="J15" s="9" t="str">
        <x:v>SCOPE-I-08 (explicit baseline mapping)</x:v>
      </x:c>
      <x:c r="K15" s="9" t="str">
        <x:v>Functional test + privacy review (NFR-012)</x:v>
      </x:c>
      <x:c r="L15" s="9" t="str">
        <x:v>No comments model, route or interface.</x:v>
      </x:c>
      <x:c r="M15" s="9" t="str">
        <x:v>None</x:v>
      </x:c>
      <x:c r="N15" s="9" t="str">
        <x:v>Store authorised comments with author/time, both-party visibility and contact redaction. Test non-party denial and avoid token-valued author IDs.</x:v>
      </x:c>
      <x:c r="O15" s="9" t="str">
        <x:v>GAP</x:v>
      </x:c>
      <x:c r="P15" s="9" t="str">
        <x:v>Not accepted; full criterion evidence incomplete</x:v>
      </x:c>
      <x:c r="Q15" s="9" t="str">
        <x:v>Masego</x:v>
      </x:c>
      <x:c r="R15" s="9" t="str">
        <x:v>FV-10</x:v>
      </x:c>
      <x:c r="S15" s="9" t="str">
        <x:v>DEC-008 Deferred; ADR-013 Proposed. No approved detailed design located.</x:v>
      </x:c>
      <x:c r="T15" s="9" t="str">
        <x:v>GAP — not implemented/tested</x:v>
      </x:c>
      <x:c r="U15" s="9" t="str">
        <x:v>https://github.com/Don-Sanvura/Civic-connect/blob/f874f5cba35cb326c7a3aabeaa0e183f4eedb4b4/docs/requirements/functional-requirements.csv</x:v>
      </x:c>
      <x:c r="V15" s="9" t="str">
        <x:v>f874f5cba35cb326c7a3aabeaa0e183f4eedb4b4</x:v>
      </x:c>
    </x:row>
    <x:row r="16" ht="70" customHeight="1">
      <x:c r="A16" s="10" t="str">
        <x:v>FR-011</x:v>
      </x:c>
      <x:c r="B16" s="10" t="str">
        <x:v>TR-009</x:v>
      </x:c>
      <x:c r="C16" s="10" t="str">
        <x:v>Staff work queue</x:v>
      </x:c>
      <x:c r="D16" s="10" t="str">
        <x:v>A Staff user shall view the service requests they are authorised to see, including unassigned requests and requests assigned to them.</x:v>
      </x:c>
      <x:c r="E16" s="10" t="str">
        <x:v>AC-011</x:v>
      </x:c>
      <x:c r="F16" s="10" t="str">
        <x:v>Given a Staff user, when the queue is opened, then unassigned requests and requests assigned to that user are listed, and requests assigned to another staff member are not shown by default.</x:v>
      </x:c>
      <x:c r="G16" s="10" t="str">
        <x:v>Must</x:v>
      </x:c>
      <x:c r="H16" s="10" t="str">
        <x:v>SH-02 / Master Brief 2.0 - 'Staff have difficulty prioritising requests and identifying ownership'</x:v>
      </x:c>
      <x:c r="I16" s="10" t="str">
        <x:v>Staff must see one prioritised queue with clear ownership</x:v>
      </x:c>
      <x:c r="J16" s="10" t="str">
        <x:v>SCOPE-I-05 (explicit baseline mapping)</x:v>
      </x:c>
      <x:c r="K16" s="10" t="str">
        <x:v>Functional test</x:v>
      </x:c>
      <x:c r="L16" s="10" t="str">
        <x:v>listRequests selects unassigned plus actor-assigned records for Staff; browser role selector loads same list.</x:v>
      </x:c>
      <x:c r="M16" s="10" t="str">
        <x:v>No dedicated membership assertion; QA-P07 is security failure</x:v>
      </x:c>
      <x:c r="N16" s="10" t="str">
        <x:v>Verify three-way fixture unassigned/self/other, exact membership and direct record restrictions. Feature acceptance is blocked by impersonation risk until identity is corrected.</x:v>
      </x:c>
      <x:c r="O16" s="10" t="str">
        <x:v>IMPLEMENTED / UNVERIFIED</x:v>
      </x:c>
      <x:c r="P16" s="10" t="str">
        <x:v>Not accepted; full criterion evidence incomplete</x:v>
      </x:c>
      <x:c r="Q16" s="10" t="str">
        <x:v>Masego</x:v>
      </x:c>
      <x:c r="R16" s="10" t="str">
        <x:v>FV-11</x:v>
      </x:c>
      <x:c r="S16" s="10" t="str">
        <x:v>DEC-008 Deferred; ADR-013 Proposed. No approved detailed design located.</x:v>
      </x:c>
      <x:c r="T16" s="10" t="str">
        <x:v>GAP — not implemented/tested</x:v>
      </x:c>
      <x:c r="U16" s="10" t="str">
        <x:v>https://github.com/Don-Sanvura/Civic-connect/blob/f874f5cba35cb326c7a3aabeaa0e183f4eedb4b4/docs/requirements/functional-requirements.csv</x:v>
      </x:c>
      <x:c r="V16" s="10" t="str">
        <x:v>f874f5cba35cb326c7a3aabeaa0e183f4eedb4b4</x:v>
      </x:c>
    </x:row>
    <x:row r="17" ht="70" customHeight="1">
      <x:c r="A17" s="9" t="str">
        <x:v>FR-012</x:v>
      </x:c>
      <x:c r="B17" s="9" t="str">
        <x:v>TR-010</x:v>
      </x:c>
      <x:c r="C17" s="9" t="str">
        <x:v>Search, filter and sort</x:v>
      </x:c>
      <x:c r="D17" s="9" t="str">
        <x:v>A Staff or Manager user shall search by reference or keyword and filter and sort the request list by category, status, assignee, priority and submission date.</x:v>
      </x:c>
      <x:c r="E17" s="9" t="str">
        <x:v>AC-012</x:v>
      </x:c>
      <x:c r="F17" s="9" t="str">
        <x:v>Given a list of requests, when a filter or sort is applied, then only matching requests are returned in the requested order, and combining two filters returns the intersection.</x:v>
      </x:c>
      <x:c r="G17" s="9" t="str">
        <x:v>Must</x:v>
      </x:c>
      <x:c r="H17" s="9" t="str">
        <x:v>SH-02 / Master Brief 3.0 staff capabilities</x:v>
      </x:c>
      <x:c r="I17" s="9" t="str">
        <x:v>Staff must locate relevant requests quickly</x:v>
      </x:c>
      <x:c r="J17" s="9" t="str">
        <x:v>SCOPE-I-05 (explicit baseline mapping)</x:v>
      </x:c>
      <x:c r="K17" s="9" t="str">
        <x:v>Functional test + performance test (NFR-001)</x:v>
      </x:c>
      <x:c r="L17" s="9" t="str">
        <x:v>listRequests has no query argument. HTTP handler discards URL search parameters. Only default newest-first sort exists.</x:v>
      </x:c>
      <x:c r="M17" s="9" t="str">
        <x:v>QA-P06; no baseline automated coverage</x:v>
      </x:c>
      <x:c r="N17" s="9" t="str">
        <x:v>Implement reference/keyword search and category/status/assignee/priority/date filters and sort, intersections, role restriction and empty results. Priority is absent from request model.</x:v>
      </x:c>
      <x:c r="O17" s="9" t="str">
        <x:v>FAILED</x:v>
      </x:c>
      <x:c r="P17" s="9" t="str">
        <x:v>Not accepted; demonstrated defect</x:v>
      </x:c>
      <x:c r="Q17" s="9" t="str">
        <x:v>Masego</x:v>
      </x:c>
      <x:c r="R17" s="9" t="str">
        <x:v>FV-12</x:v>
      </x:c>
      <x:c r="S17" s="9" t="str">
        <x:v>DEC-008 Deferred; ADR-013 Proposed. No approved detailed design located.</x:v>
      </x:c>
      <x:c r="T17" s="9" t="str">
        <x:v>GAP — not implemented/tested</x:v>
      </x:c>
      <x:c r="U17" s="9" t="str">
        <x:v>https://github.com/Don-Sanvura/Civic-connect/blob/f874f5cba35cb326c7a3aabeaa0e183f4eedb4b4/docs/requirements/functional-requirements.csv</x:v>
      </x:c>
      <x:c r="V17" s="9" t="str">
        <x:v>f874f5cba35cb326c7a3aabeaa0e183f4eedb4b4</x:v>
      </x:c>
    </x:row>
    <x:row r="18" ht="70" customHeight="1">
      <x:c r="A18" s="10" t="str">
        <x:v>FR-013</x:v>
      </x:c>
      <x:c r="B18" s="10" t="str">
        <x:v>TR-029</x:v>
      </x:c>
      <x:c r="C18" s="10" t="str">
        <x:v>View full request detail</x:v>
      </x:c>
      <x:c r="D18" s="10" t="str">
        <x:v>An authorised user shall view the complete detail of a request including its full status and assignment history.</x:v>
      </x:c>
      <x:c r="E18" s="10" t="str">
        <x:v>AC-013</x:v>
      </x:c>
      <x:c r="F18" s="10" t="str">
        <x:v>Given an authorised user opening a request, when the detail view is displayed, then submitted information, current status, assignee, all comments and the complete ordered change history are shown.</x:v>
      </x:c>
      <x:c r="G18" s="10" t="str">
        <x:v>Must</x:v>
      </x:c>
      <x:c r="H18" s="10" t="str">
        <x:v>SH-02 / Master Brief 3.0 staff capabilities</x:v>
      </x:c>
      <x:c r="I18" s="10" t="str">
        <x:v>Staff must see complete request detail including history</x:v>
      </x:c>
      <x:c r="J18" s="10" t="str">
        <x:v>SCOPE-I-05 (explicit baseline mapping)</x:v>
      </x:c>
      <x:c r="K18" s="10" t="str">
        <x:v>Functional test</x:v>
      </x:c>
      <x:c r="L18" s="10" t="str">
        <x:v>getRequest returns submitted fields, assignee and ordered in-memory history. No comments or full browser detail.</x:v>
      </x:c>
      <x:c r="M18" s="10" t="str">
        <x:v>TST-018 negative only; TST-022 audit endpoint</x:v>
      </x:c>
      <x:c r="N18" s="10" t="str">
        <x:v>Add full authorised detail view with all comments and history. Assert exact fields and ordering, including assignment history; history currently exposes bearer-valued actor IDs.</x:v>
      </x:c>
      <x:c r="O18" s="10" t="str">
        <x:v>PARTIAL</x:v>
      </x:c>
      <x:c r="P18" s="10" t="str">
        <x:v>Not accepted; full criterion evidence incomplete</x:v>
      </x:c>
      <x:c r="Q18" s="10" t="str">
        <x:v>Masego</x:v>
      </x:c>
      <x:c r="R18" s="10" t="str">
        <x:v>FV-13</x:v>
      </x:c>
      <x:c r="S18" s="10" t="str">
        <x:v>DEC-008 Deferred; ADR-013 Proposed. No approved detailed design located.</x:v>
      </x:c>
      <x:c r="T18" s="10" t="str">
        <x:v>GAP — not implemented/tested</x:v>
      </x:c>
      <x:c r="U18" s="10" t="str">
        <x:v>https://github.com/Don-Sanvura/Civic-connect/blob/f874f5cba35cb326c7a3aabeaa0e183f4eedb4b4/docs/requirements/functional-requirements.csv</x:v>
      </x:c>
      <x:c r="V18" s="10" t="str">
        <x:v>f874f5cba35cb326c7a3aabeaa0e183f4eedb4b4</x:v>
      </x:c>
    </x:row>
    <x:row r="19" ht="70" customHeight="1">
      <x:c r="A19" s="9" t="str">
        <x:v>FR-014</x:v>
      </x:c>
      <x:c r="B19" s="9" t="str">
        <x:v>TR-011</x:v>
      </x:c>
      <x:c r="C19" s="9" t="str">
        <x:v>Assign, self-assign and reassign</x:v>
      </x:c>
      <x:c r="D19" s="9" t="str">
        <x:v>A Manager shall assign a request to a Staff user, a Staff user shall accept an unassigned request, and a Manager shall reassign an assigned request.</x:v>
      </x:c>
      <x:c r="E19" s="9" t="str">
        <x:v>AC-014</x:v>
      </x:c>
      <x:c r="F19" s="9" t="str">
        <x:v>Given an unassigned request, when a Staff user accepts it, then that user becomes the assignee and the assignment is written to the audit trail; and when a Manager reassigns it, the previous and new assignee are both recorded.</x:v>
      </x:c>
      <x:c r="G19" s="9" t="str">
        <x:v>Must</x:v>
      </x:c>
      <x:c r="H19" s="9" t="str">
        <x:v>SH-03 / Master Brief 3.0 staff capabilities</x:v>
      </x:c>
      <x:c r="I19" s="9" t="str">
        <x:v>Ownership of a request must be unambiguous and changeable</x:v>
      </x:c>
      <x:c r="J19" s="9" t="str">
        <x:v>SCOPE-I-06 (explicit baseline mapping)</x:v>
      </x:c>
      <x:c r="K19" s="9" t="str">
        <x:v>Functional test + audit record inspection</x:v>
      </x:c>
      <x:c r="L19" s="9" t="str">
        <x:v>assignRequest supports staff self-assign and manager reassignment with before/after audit. Assignee is an arbitrary string, not validated active Staff.</x:v>
      </x:c>
      <x:c r="M19" s="9" t="str">
        <x:v>TST-008,009,010,019,022; QA-P03</x:v>
      </x:c>
      <x:c r="N19" s="9" t="str">
        <x:v>Reject unknown/inactive/non-Staff targets without mutation; test manager reassignment and exact old/new assignee audit. Add UI controls and concurrency rule.</x:v>
      </x:c>
      <x:c r="O19" s="9" t="str">
        <x:v>FAILED</x:v>
      </x:c>
      <x:c r="P19" s="9" t="str">
        <x:v>Not accepted; demonstrated defect</x:v>
      </x:c>
      <x:c r="Q19" s="9" t="str">
        <x:v>Masego</x:v>
      </x:c>
      <x:c r="R19" s="9" t="str">
        <x:v>FV-14</x:v>
      </x:c>
      <x:c r="S19" s="9" t="str">
        <x:v>DEC-008 Deferred; ADR-013 Proposed. No approved detailed design located.</x:v>
      </x:c>
      <x:c r="T19" s="9" t="str">
        <x:v>PARTIAL — verify exact baseline acceptance criteria</x:v>
      </x:c>
      <x:c r="U19" s="9" t="str">
        <x:v>https://github.com/Don-Sanvura/Civic-connect/blob/f874f5cba35cb326c7a3aabeaa0e183f4eedb4b4/docs/requirements/functional-requirements.csv</x:v>
      </x:c>
      <x:c r="V19" s="9" t="str">
        <x:v>f874f5cba35cb326c7a3aabeaa0e183f4eedb4b4</x:v>
      </x:c>
    </x:row>
    <x:row r="20" ht="70" customHeight="1">
      <x:c r="A20" s="10" t="str">
        <x:v>FR-015</x:v>
      </x:c>
      <x:c r="B20" s="10" t="str">
        <x:v>TR-012</x:v>
      </x:c>
      <x:c r="C20" s="10" t="str">
        <x:v>Controlled status transitions</x:v>
      </x:c>
      <x:c r="D20" s="10" t="str">
        <x:v>The system shall permit only defined status transitions across New, Accepted, In Progress, On Hold, Resolved, Closed and Rejected, and shall refuse any undefined transition.</x:v>
      </x:c>
      <x:c r="E20" s="10" t="str">
        <x:v>AC-015</x:v>
      </x:c>
      <x:c r="F20" s="10" t="str">
        <x:v>Given a request in status Closed, when any transition other than the defined reopen path is attempted, then it is refused and the status is unchanged; and every permitted transition is recorded with actor and timestamp.</x:v>
      </x:c>
      <x:c r="G20" s="10" t="str">
        <x:v>Must</x:v>
      </x:c>
      <x:c r="H20" s="10" t="str">
        <x:v>SH-04 / Master Brief 2.0 - 'no single controlled record of the lifecycle'</x:v>
      </x:c>
      <x:c r="I20" s="10" t="str">
        <x:v>Status must move only through controlled transitions</x:v>
      </x:c>
      <x:c r="J20" s="10" t="str">
        <x:v>SCOPE-I-07 (explicit baseline mapping)</x:v>
      </x:c>
      <x:c r="K20" s="10" t="str">
        <x:v>State-transition test covering the full permitted and forbidden matrix</x:v>
      </x:c>
      <x:c r="L20" s="10" t="str">
        <x:v>Seven-state transition table exists, including Closed to In Progress. Notes are written before transition validation.</x:v>
      </x:c>
      <x:c r="M20" s="10" t="str">
        <x:v>TST-012,022,028; QA-P01</x:v>
      </x:c>
      <x:c r="N20" s="10" t="str">
        <x:v>Approve exact reopen path and full permitted/forbidden table. Assert full no-change on refusal; QA-P01 changes resolution note with 409 and no audit/version change.</x:v>
      </x:c>
      <x:c r="O20" s="10" t="str">
        <x:v>FAILED</x:v>
      </x:c>
      <x:c r="P20" s="10" t="str">
        <x:v>Not accepted; demonstrated defect</x:v>
      </x:c>
      <x:c r="Q20" s="10" t="str">
        <x:v>Masego</x:v>
      </x:c>
      <x:c r="R20" s="10" t="str">
        <x:v>FV-15</x:v>
      </x:c>
      <x:c r="S20" s="10" t="str">
        <x:v>DEC-008 Deferred; ADR-013 Proposed. No approved detailed design located.</x:v>
      </x:c>
      <x:c r="T20" s="10" t="str">
        <x:v>PARTIAL — verify exact baseline acceptance criteria</x:v>
      </x:c>
      <x:c r="U20" s="10" t="str">
        <x:v>https://github.com/Don-Sanvura/Civic-connect/blob/f874f5cba35cb326c7a3aabeaa0e183f4eedb4b4/docs/requirements/functional-requirements.csv</x:v>
      </x:c>
      <x:c r="V20" s="10" t="str">
        <x:v>f874f5cba35cb326c7a3aabeaa0e183f4eedb4b4</x:v>
      </x:c>
    </x:row>
    <x:row r="21" ht="70" customHeight="1">
      <x:c r="A21" s="9" t="str">
        <x:v>FR-016</x:v>
      </x:c>
      <x:c r="B21" s="9" t="str">
        <x:v>TR-024</x:v>
      </x:c>
      <x:c r="C21" s="9" t="str">
        <x:v>Record action and resolution information</x:v>
      </x:c>
      <x:c r="D21" s="9" t="str">
        <x:v>An assigned Staff user shall record actions taken and shall record resolution information when moving a request to Resolved.</x:v>
      </x:c>
      <x:c r="E21" s="9" t="str">
        <x:v>AC-016</x:v>
      </x:c>
      <x:c r="F21" s="9" t="str">
        <x:v>Given a request being moved to Resolved, when no resolution note is supplied, then the transition is refused; when a note is supplied, the note is stored against the request with author and timestamp.</x:v>
      </x:c>
      <x:c r="G21" s="9" t="str">
        <x:v>Must</x:v>
      </x:c>
      <x:c r="H21" s="9" t="str">
        <x:v>SH-02 / Master Brief 3.0 staff capabilities</x:v>
      </x:c>
      <x:c r="I21" s="9" t="str">
        <x:v>Actions and resolution must be recorded against the request</x:v>
      </x:c>
      <x:c r="J21" s="9" t="str">
        <x:v>SCOPE-I-08 (explicit baseline mapping)</x:v>
      </x:c>
      <x:c r="K21" s="9" t="str">
        <x:v>Functional test, positive and negative</x:v>
      </x:c>
      <x:c r="L21" s="9" t="str">
        <x:v>Assigned staff require resolution note; note stored on request. No separate action-recording workflow. Audit captures incorrect previous note.</x:v>
      </x:c>
      <x:c r="M21" s="9" t="str">
        <x:v>TST-013,014,022; QA-P02</x:v>
      </x:c>
      <x:c r="N21" s="9" t="str">
        <x:v>Record note author/time, action history and correct prior values; verify blank/type/oversized notes, unauthorised actor and durable data.</x:v>
      </x:c>
      <x:c r="O21" s="9" t="str">
        <x:v>PARTIAL</x:v>
      </x:c>
      <x:c r="P21" s="9" t="str">
        <x:v>Not accepted; full criterion evidence incomplete</x:v>
      </x:c>
      <x:c r="Q21" s="9" t="str">
        <x:v>Masego</x:v>
      </x:c>
      <x:c r="R21" s="9" t="str">
        <x:v>FV-16</x:v>
      </x:c>
      <x:c r="S21" s="9" t="str">
        <x:v>DEC-008 Deferred; ADR-013 Proposed. No approved detailed design located.</x:v>
      </x:c>
      <x:c r="T21" s="9" t="str">
        <x:v>PARTIAL — verify exact baseline acceptance criteria</x:v>
      </x:c>
      <x:c r="U21" s="9" t="str">
        <x:v>https://github.com/Don-Sanvura/Civic-connect/blob/f874f5cba35cb326c7a3aabeaa0e183f4eedb4b4/docs/requirements/functional-requirements.csv</x:v>
      </x:c>
      <x:c r="V21" s="9" t="str">
        <x:v>f874f5cba35cb326c7a3aabeaa0e183f4eedb4b4</x:v>
      </x:c>
    </x:row>
    <x:row r="22" ht="56" customHeight="1">
      <x:c r="A22" s="10" t="str">
        <x:v>FR-017</x:v>
      </x:c>
      <x:c r="B22" s="10" t="str">
        <x:v>TR-030</x:v>
      </x:c>
      <x:c r="C22" s="10" t="str">
        <x:v>Resolve and close a request</x:v>
      </x:c>
      <x:c r="D22" s="10" t="str">
        <x:v>An assigned Staff user shall move a request to Resolved, and a Manager shall move a Resolved request to Closed.</x:v>
      </x:c>
      <x:c r="E22" s="10" t="str">
        <x:v>AC-017</x:v>
      </x:c>
      <x:c r="F22" s="10" t="str">
        <x:v>Given a Resolved request, when a Manager closes it, then the status becomes Closed with actor and timestamp recorded; and a Staff user attempting to close it directly is refused.</x:v>
      </x:c>
      <x:c r="G22" s="10" t="str">
        <x:v>Must</x:v>
      </x:c>
      <x:c r="H22" s="10" t="str">
        <x:v>SH-02, SH-04 / Master Brief 3.0</x:v>
      </x:c>
      <x:c r="I22" s="10" t="str">
        <x:v>Requests must be closed only by an authorised role</x:v>
      </x:c>
      <x:c r="J22" s="10" t="str">
        <x:v>SCOPE-I-07 (explicit baseline mapping)</x:v>
      </x:c>
      <x:c r="K22" s="10" t="str">
        <x:v>Functional test + authorisation test</x:v>
      </x:c>
      <x:c r="L22" s="10" t="str">
        <x:v>Assigned Staff resolve and Manager closes Resolved; Staff closure returns 403. Admin also permitted to close. API only.</x:v>
      </x:c>
      <x:c r="M22" s="10" t="str">
        <x:v>TST-015,022; QA-P01 setup</x:v>
      </x:c>
      <x:c r="N22" s="10" t="str">
        <x:v>Assert returned/stored Closed state and actor/time, full no-change on Staff denial; confirm administrator permission in approved matrix. UI workflow remains missing.</x:v>
      </x:c>
      <x:c r="O22" s="10" t="str">
        <x:v>PARTIAL</x:v>
      </x:c>
      <x:c r="P22" s="10" t="str">
        <x:v>Not accepted; full criterion evidence incomplete</x:v>
      </x:c>
      <x:c r="Q22" s="10" t="str">
        <x:v>Masego</x:v>
      </x:c>
      <x:c r="R22" s="10" t="str">
        <x:v>FV-17</x:v>
      </x:c>
      <x:c r="S22" s="10" t="str">
        <x:v>DEC-008 Deferred; ADR-013 Proposed. No approved detailed design located.</x:v>
      </x:c>
      <x:c r="T22" s="10" t="str">
        <x:v>PARTIAL — verify exact baseline acceptance criteria</x:v>
      </x:c>
      <x:c r="U22" s="10" t="str">
        <x:v>https://github.com/Don-Sanvura/Civic-connect/blob/f874f5cba35cb326c7a3aabeaa0e183f4eedb4b4/docs/requirements/functional-requirements.csv</x:v>
      </x:c>
      <x:c r="V22" s="10" t="str">
        <x:v>f874f5cba35cb326c7a3aabeaa0e183f4eedb4b4</x:v>
      </x:c>
    </x:row>
    <x:row r="23" ht="70" customHeight="1">
      <x:c r="A23" s="9" t="str">
        <x:v>FR-018</x:v>
      </x:c>
      <x:c r="B23" s="9" t="str">
        <x:v>TR-031</x:v>
      </x:c>
      <x:c r="C23" s="9" t="str">
        <x:v>Reject or return a request</x:v>
      </x:c>
      <x:c r="D23" s="9" t="str">
        <x:v>A Staff or Manager user shall reject or return a request to the Requester, and the system shall require a reason.</x:v>
      </x:c>
      <x:c r="E23" s="9" t="str">
        <x:v>AC-018</x:v>
      </x:c>
      <x:c r="F23" s="9" t="str">
        <x:v>Given a request being rejected, when no reason is supplied, then the rejection is refused; when a reason is supplied, the request status becomes Rejected, the reason is stored and the Requester is notified (FR-009).</x:v>
      </x:c>
      <x:c r="G23" s="9" t="str">
        <x:v>Should</x:v>
      </x:c>
      <x:c r="H23" s="9" t="str">
        <x:v>SH-02 / Master Brief 3.0 requester capabilities</x:v>
      </x:c>
      <x:c r="I23" s="9" t="str">
        <x:v>A rejected request must carry a reason back to the requester</x:v>
      </x:c>
      <x:c r="J23" s="9" t="str">
        <x:v>SCOPE-I-07 (explicit baseline mapping)</x:v>
      </x:c>
      <x:c r="K23" s="9" t="str">
        <x:v>Functional test, positive and negative</x:v>
      </x:c>
      <x:c r="L23" s="9" t="str">
        <x:v>Manager rejection requires/stores reason and status. Staff can reject only own assigned request. No notification or return workflow.</x:v>
      </x:c>
      <x:c r="M23" s="9" t="str">
        <x:v>TST-016,017,028</x:v>
      </x:c>
      <x:c r="N23" s="9" t="str">
        <x:v>Test Staff allowed case, missing/blank/type reasons, return semantics and both notification channels FR-009. TST-028 is not duplicate detection.</x:v>
      </x:c>
      <x:c r="O23" s="9" t="str">
        <x:v>PARTIAL</x:v>
      </x:c>
      <x:c r="P23" s="9" t="str">
        <x:v>Not accepted; full criterion evidence incomplete</x:v>
      </x:c>
      <x:c r="Q23" s="9" t="str">
        <x:v>Masego</x:v>
      </x:c>
      <x:c r="R23" s="9" t="str">
        <x:v>FV-18</x:v>
      </x:c>
      <x:c r="S23" s="9" t="str">
        <x:v>DEC-008 Deferred; ADR-013 Proposed. No approved detailed design located.</x:v>
      </x:c>
      <x:c r="T23" s="9" t="str">
        <x:v>PARTIAL — verify exact baseline acceptance criteria</x:v>
      </x:c>
      <x:c r="U23" s="9" t="str">
        <x:v>https://github.com/Don-Sanvura/Civic-connect/blob/f874f5cba35cb326c7a3aabeaa0e183f4eedb4b4/docs/requirements/functional-requirements.csv</x:v>
      </x:c>
      <x:c r="V23" s="9" t="str">
        <x:v>f874f5cba35cb326c7a3aabeaa0e183f4eedb4b4</x:v>
      </x:c>
    </x:row>
    <x:row r="24" ht="70" customHeight="1">
      <x:c r="A24" s="10" t="str">
        <x:v>FR-019</x:v>
      </x:c>
      <x:c r="B24" s="10" t="str">
        <x:v>TR-005</x:v>
      </x:c>
      <x:c r="C24" s="10" t="str">
        <x:v>Management activity dashboard</x:v>
      </x:c>
      <x:c r="D24" s="10" t="str">
        <x:v>A Manager shall view counts of open, in progress, overdue, resolved and closed requests for a selected period.</x:v>
      </x:c>
      <x:c r="E24" s="10" t="str">
        <x:v>AC-019</x:v>
      </x:c>
      <x:c r="F24" s="10" t="str">
        <x:v>Given a known data set for a period, when the dashboard is opened for that period, then each displayed count equals the count obtained directly from the stored records for that period.</x:v>
      </x:c>
      <x:c r="G24" s="10" t="str">
        <x:v>Must</x:v>
      </x:c>
      <x:c r="H24" s="10" t="str">
        <x:v>SH-04 / Master Brief 2.0 - 'Reporting is manual, inconsistent and difficult to audit'</x:v>
      </x:c>
      <x:c r="I24" s="10" t="str">
        <x:v>Management must identify outstanding and overdue work reliably</x:v>
      </x:c>
      <x:c r="J24" s="10" t="str">
        <x:v>SCOPE-I-09 (explicit baseline mapping)</x:v>
      </x:c>
      <x:c r="K24" s="10" t="str">
        <x:v>Functional test against a seeded data set</x:v>
      </x:c>
      <x:c r="L24" s="10" t="str">
        <x:v>No dashboard route, aggregation or period selection.</x:v>
      </x:c>
      <x:c r="M24" s="10" t="str">
        <x:v>None</x:v>
      </x:c>
      <x:c r="N24" s="10" t="str">
        <x:v>Seed known period and states, reconcile every count to stored data; agree open and overdue definitions and date boundaries.</x:v>
      </x:c>
      <x:c r="O24" s="10" t="str">
        <x:v>GAP</x:v>
      </x:c>
      <x:c r="P24" s="10" t="str">
        <x:v>Not accepted; full criterion evidence incomplete</x:v>
      </x:c>
      <x:c r="Q24" s="10" t="str">
        <x:v>Masego</x:v>
      </x:c>
      <x:c r="R24" s="10" t="str">
        <x:v>FV-19</x:v>
      </x:c>
      <x:c r="S24" s="10" t="str">
        <x:v>DEC-008 Deferred; ADR-013 Proposed. No approved detailed design located.</x:v>
      </x:c>
      <x:c r="T24" s="10" t="str">
        <x:v>GAP — not implemented/tested</x:v>
      </x:c>
      <x:c r="U24" s="10" t="str">
        <x:v>https://github.com/Don-Sanvura/Civic-connect/blob/f874f5cba35cb326c7a3aabeaa0e183f4eedb4b4/docs/requirements/functional-requirements.csv</x:v>
      </x:c>
      <x:c r="V24" s="10" t="str">
        <x:v>f874f5cba35cb326c7a3aabeaa0e183f4eedb4b4</x:v>
      </x:c>
    </x:row>
    <x:row r="25" ht="70" customHeight="1">
      <x:c r="A25" s="9" t="str">
        <x:v>FR-020</x:v>
      </x:c>
      <x:c r="B25" s="9" t="str">
        <x:v>TR-014</x:v>
      </x:c>
      <x:c r="C25" s="9" t="str">
        <x:v>Activity breakdown</x:v>
      </x:c>
      <x:c r="D25" s="9" t="str">
        <x:v>A Manager shall view request activity broken down by category, status, assignee and time period.</x:v>
      </x:c>
      <x:c r="E25" s="9" t="str">
        <x:v>AC-020</x:v>
      </x:c>
      <x:c r="F25" s="9" t="str">
        <x:v>Given a seeded data set, when a breakdown by category is requested, then every active category is represented and the sum of the category counts equals the total request count for the period.</x:v>
      </x:c>
      <x:c r="G25" s="9" t="str">
        <x:v>Must</x:v>
      </x:c>
      <x:c r="H25" s="9" t="str">
        <x:v>SH-04 / CF-02</x:v>
      </x:c>
      <x:c r="I25" s="9" t="str">
        <x:v>Reporting must be possible by category, status, assignee and period</x:v>
      </x:c>
      <x:c r="J25" s="9" t="str">
        <x:v>SCOPE-I-10 (explicit baseline mapping)</x:v>
      </x:c>
      <x:c r="K25" s="9" t="str">
        <x:v>Functional test with reconciliation check</x:v>
      </x:c>
      <x:c r="L25" s="9" t="str">
        <x:v>No management breakdowns or period model.</x:v>
      </x:c>
      <x:c r="M25" s="9" t="str">
        <x:v>None</x:v>
      </x:c>
      <x:c r="N25" s="9" t="str">
        <x:v>Represent all active categories including zero-count categories; reconcile totals, category/status/assignee/time partitions and role denial.</x:v>
      </x:c>
      <x:c r="O25" s="9" t="str">
        <x:v>GAP</x:v>
      </x:c>
      <x:c r="P25" s="9" t="str">
        <x:v>Not accepted; full criterion evidence incomplete</x:v>
      </x:c>
      <x:c r="Q25" s="9" t="str">
        <x:v>Masego</x:v>
      </x:c>
      <x:c r="R25" s="9" t="str">
        <x:v>FV-20</x:v>
      </x:c>
      <x:c r="S25" s="9" t="str">
        <x:v>DEC-008 Deferred; ADR-013 Proposed. No approved detailed design located.</x:v>
      </x:c>
      <x:c r="T25" s="9" t="str">
        <x:v>GAP — not implemented/tested</x:v>
      </x:c>
      <x:c r="U25" s="9" t="str">
        <x:v>https://github.com/Don-Sanvura/Civic-connect/blob/f874f5cba35cb326c7a3aabeaa0e183f4eedb4b4/docs/requirements/functional-requirements.csv</x:v>
      </x:c>
      <x:c r="V25" s="9" t="str">
        <x:v>f874f5cba35cb326c7a3aabeaa0e183f4eedb4b4</x:v>
      </x:c>
    </x:row>
    <x:row r="26" ht="84" customHeight="1">
      <x:c r="A26" s="10" t="str">
        <x:v>FR-021</x:v>
      </x:c>
      <x:c r="B26" s="10" t="str">
        <x:v>TR-006</x:v>
      </x:c>
      <x:c r="C26" s="10" t="str">
        <x:v>Overdue identification</x:v>
      </x:c>
      <x:c r="D26" s="10" t="str">
        <x:v>The system shall identify a request as overdue when its elapsed open time exceeds the configured target resolution time for its category.</x:v>
      </x:c>
      <x:c r="E26" s="10" t="str">
        <x:v>AC-021</x:v>
      </x:c>
      <x:c r="F26" s="10" t="str">
        <x:v>Given a category with a configured target of T hours and a request open for more than T hours in a non-terminal status, when the dashboard or queue is viewed, then that request is flagged overdue; and a request open for less than T hours is not flagged.</x:v>
      </x:c>
      <x:c r="G26" s="10" t="str">
        <x:v>Must</x:v>
      </x:c>
      <x:c r="H26" s="10" t="str">
        <x:v>SH-04 / Master Brief 2.0</x:v>
      </x:c>
      <x:c r="I26" s="10" t="str">
        <x:v>Management must identify outstanding and overdue work reliably</x:v>
      </x:c>
      <x:c r="J26" s="10" t="str">
        <x:v>SCOPE-I-09 (explicit baseline mapping)</x:v>
      </x:c>
      <x:c r="K26" s="10" t="str">
        <x:v>Boundary test at T-1, T and T+1. NOTE: target values are not yet agreed - see RSK-05 and SCOPE-D-02.</x:v>
      </x:c>
      <x:c r="L26" s="10" t="str">
        <x:v>Category targetHours may be stored; no overdue calculation or flag. RSK-05/AS-02 targets unresolved.</x:v>
      </x:c>
      <x:c r="M26" s="10" t="str">
        <x:v>None</x:v>
      </x:c>
      <x:c r="N26" s="10" t="str">
        <x:v>Agree provisional target values and time semantics. Test T-1, T and T+1 plus terminal states; strictly exceeds means equality is not overdue. Escalation remains deferred.</x:v>
      </x:c>
      <x:c r="O26" s="10" t="str">
        <x:v>GAP</x:v>
      </x:c>
      <x:c r="P26" s="10" t="str">
        <x:v>Not accepted; full criterion evidence incomplete</x:v>
      </x:c>
      <x:c r="Q26" s="10" t="str">
        <x:v>Masego</x:v>
      </x:c>
      <x:c r="R26" s="10" t="str">
        <x:v>FV-21</x:v>
      </x:c>
      <x:c r="S26" s="10" t="str">
        <x:v>DEC-008 Deferred; ADR-013 Proposed. No approved detailed design located.</x:v>
      </x:c>
      <x:c r="T26" s="10" t="str">
        <x:v>GAP — not implemented/tested</x:v>
      </x:c>
      <x:c r="U26" s="10" t="str">
        <x:v>https://github.com/Don-Sanvura/Civic-connect/blob/f874f5cba35cb326c7a3aabeaa0e183f4eedb4b4/docs/requirements/functional-requirements.csv</x:v>
      </x:c>
      <x:c r="V26" s="10" t="str">
        <x:v>f874f5cba35cb326c7a3aabeaa0e183f4eedb4b4</x:v>
      </x:c>
    </x:row>
    <x:row r="27" ht="56" customHeight="1">
      <x:c r="A27" s="9" t="str">
        <x:v>FR-022</x:v>
      </x:c>
      <x:c r="B27" s="9" t="str">
        <x:v>TR-032</x:v>
      </x:c>
      <x:c r="C27" s="9" t="str">
        <x:v>Export service activity</x:v>
      </x:c>
      <x:c r="D27" s="9" t="str">
        <x:v>A Manager shall export the filtered request list to CSV for offline analysis and record keeping.</x:v>
      </x:c>
      <x:c r="E27" s="9" t="str">
        <x:v>AC-022</x:v>
      </x:c>
      <x:c r="F27" s="9" t="str">
        <x:v>Given a filtered request list of n rows, when export is selected, then a CSV file is produced containing exactly n data rows with a header row and the same field values as displayed.</x:v>
      </x:c>
      <x:c r="G27" s="9" t="str">
        <x:v>Should</x:v>
      </x:c>
      <x:c r="H27" s="9" t="str">
        <x:v>SH-04 / Master Brief 2.0 - 'Reporting is manual'</x:v>
      </x:c>
      <x:c r="I27" s="9" t="str">
        <x:v>Management must be able to take activity data offline</x:v>
      </x:c>
      <x:c r="J27" s="9" t="str">
        <x:v>SCOPE-I-10 (explicit baseline mapping)</x:v>
      </x:c>
      <x:c r="K27" s="9" t="str">
        <x:v>Functional test + row-count reconciliation</x:v>
      </x:c>
      <x:c r="L27" s="9" t="str">
        <x:v>No export route or download control.</x:v>
      </x:c>
      <x:c r="M27" s="9" t="str">
        <x:v>None</x:v>
      </x:c>
      <x:c r="N27" s="9" t="str">
        <x:v>Match filtered display fields and exactly n CSV data rows, quoting and Unicode. Verify role denial and spreadsheet-formula injection handling as a risk case.</x:v>
      </x:c>
      <x:c r="O27" s="9" t="str">
        <x:v>GAP</x:v>
      </x:c>
      <x:c r="P27" s="9" t="str">
        <x:v>Not accepted; full criterion evidence incomplete</x:v>
      </x:c>
      <x:c r="Q27" s="9" t="str">
        <x:v>Masego</x:v>
      </x:c>
      <x:c r="R27" s="9" t="str">
        <x:v>FV-22</x:v>
      </x:c>
      <x:c r="S27" s="9" t="str">
        <x:v>DEC-008 Deferred; ADR-013 Proposed. No approved detailed design located.</x:v>
      </x:c>
      <x:c r="T27" s="9" t="str">
        <x:v>GAP — not implemented/tested</x:v>
      </x:c>
      <x:c r="U27" s="9" t="str">
        <x:v>https://github.com/Don-Sanvura/Civic-connect/blob/f874f5cba35cb326c7a3aabeaa0e183f4eedb4b4/docs/requirements/functional-requirements.csv</x:v>
      </x:c>
      <x:c r="V27" s="9" t="str">
        <x:v>f874f5cba35cb326c7a3aabeaa0e183f4eedb4b4</x:v>
      </x:c>
    </x:row>
    <x:row r="28" ht="70" customHeight="1">
      <x:c r="A28" s="10" t="str">
        <x:v>FR-023</x:v>
      </x:c>
      <x:c r="B28" s="10" t="str">
        <x:v>TR-021</x:v>
      </x:c>
      <x:c r="C28" s="10" t="str">
        <x:v>Manage the controlled category list</x:v>
      </x:c>
      <x:c r="D28" s="10" t="str">
        <x:v>An Administrator shall create, rename and deactivate categories, and shall configure the target resolution time for each category.</x:v>
      </x:c>
      <x:c r="E28" s="10" t="str">
        <x:v>AC-023</x:v>
      </x:c>
      <x:c r="F28" s="10" t="str">
        <x:v>Given a category referenced by existing requests, when deactivation is attempted, then the category is deactivated for new submissions while existing requests retain it; and deletion that would orphan a request is refused.</x:v>
      </x:c>
      <x:c r="G28" s="10" t="str">
        <x:v>Must</x:v>
      </x:c>
      <x:c r="H28" s="10" t="str">
        <x:v>SH-05 / Master Brief 3.0 management capabilities</x:v>
      </x:c>
      <x:c r="I28" s="10" t="str">
        <x:v>Categories and their targets must be administrable</x:v>
      </x:c>
      <x:c r="J28" s="10" t="str">
        <x:v>SCOPE-I-11 (explicit baseline mapping)</x:v>
      </x:c>
      <x:c r="K28" s="10" t="str">
        <x:v>Functional test + referential-integrity test</x:v>
      </x:c>
      <x:c r="L28" s="10" t="str">
        <x:v>Admin category create/update/rename/deactivate/target exists. Requests store category name strings; no deletion endpoint. POST existing name silently updates.</x:v>
      </x:c>
      <x:c r="M28" s="10" t="str">
        <x:v>TST-023,024; QA-P04,P05</x:v>
      </x:c>
      <x:c r="N28" s="10" t="str">
        <x:v>Test existing requests retain category after deactivation, new intake rejects it, orphan deletion refused, stable identity across rename. Decide POST duplicate semantics; use immutable category ID.</x:v>
      </x:c>
      <x:c r="O28" s="10" t="str">
        <x:v>PARTIAL</x:v>
      </x:c>
      <x:c r="P28" s="10" t="str">
        <x:v>Not accepted; full criterion evidence incomplete</x:v>
      </x:c>
      <x:c r="Q28" s="10" t="str">
        <x:v>Masego</x:v>
      </x:c>
      <x:c r="R28" s="10" t="str">
        <x:v>FV-23</x:v>
      </x:c>
      <x:c r="S28" s="10" t="str">
        <x:v>DEC-008 Deferred; ADR-013 Proposed. No approved detailed design located.</x:v>
      </x:c>
      <x:c r="T28" s="10" t="str">
        <x:v>PARTIAL — verify exact baseline acceptance criteria</x:v>
      </x:c>
      <x:c r="U28" s="10" t="str">
        <x:v>https://github.com/Don-Sanvura/Civic-connect/blob/f874f5cba35cb326c7a3aabeaa0e183f4eedb4b4/docs/requirements/functional-requirements.csv</x:v>
      </x:c>
      <x:c r="V28" s="10" t="str">
        <x:v>f874f5cba35cb326c7a3aabeaa0e183f4eedb4b4</x:v>
      </x:c>
    </x:row>
    <x:row r="29" ht="70" customHeight="1">
      <x:c r="A29" s="9" t="str">
        <x:v>FR-024</x:v>
      </x:c>
      <x:c r="B29" s="9" t="str">
        <x:v>TR-022</x:v>
      </x:c>
      <x:c r="C29" s="9" t="str">
        <x:v>Manage users and roles</x:v>
      </x:c>
      <x:c r="D29" s="9" t="str">
        <x:v>An Administrator shall change a user's role and deactivate a user account.</x:v>
      </x:c>
      <x:c r="E29" s="9" t="str">
        <x:v>AC-024</x:v>
      </x:c>
      <x:c r="F29" s="9" t="str">
        <x:v>Given an active user with assigned open requests, when the account is deactivated, then the user can no longer sign in, the assigned requests remain visible to the Manager for reassignment, and the change is written to the audit trail.</x:v>
      </x:c>
      <x:c r="G29" s="9" t="str">
        <x:v>Must</x:v>
      </x:c>
      <x:c r="H29" s="9" t="str">
        <x:v>SH-05</x:v>
      </x:c>
      <x:c r="I29" s="9" t="str">
        <x:v>Users and roles must be administrable</x:v>
      </x:c>
      <x:c r="J29" s="9" t="str">
        <x:v>SCOPE-I-11 (explicit baseline mapping)</x:v>
      </x:c>
      <x:c r="K29" s="9" t="str">
        <x:v>Functional test + audit record inspection</x:v>
      </x:c>
      <x:c r="L29" s="9" t="str">
        <x:v>No user store, role-change endpoint, account deactivation, session revocation or user audit.</x:v>
      </x:c>
      <x:c r="M29" s="9" t="str">
        <x:v>None</x:v>
      </x:c>
      <x:c r="N29" s="9" t="str">
        <x:v>Deactivate active user with open assignments; sign-in/session denied, manager still sees work, reassignment and audit persist.</x:v>
      </x:c>
      <x:c r="O29" s="9" t="str">
        <x:v>GAP</x:v>
      </x:c>
      <x:c r="P29" s="9" t="str">
        <x:v>Not accepted; full criterion evidence incomplete</x:v>
      </x:c>
      <x:c r="Q29" s="9" t="str">
        <x:v>Masego</x:v>
      </x:c>
      <x:c r="R29" s="9" t="str">
        <x:v>FV-24</x:v>
      </x:c>
      <x:c r="S29" s="9" t="str">
        <x:v>DEC-008 Deferred; ADR-013 Proposed. No approved detailed design located.</x:v>
      </x:c>
      <x:c r="T29" s="9" t="str">
        <x:v>GAP — not implemented/tested</x:v>
      </x:c>
      <x:c r="U29" s="9" t="str">
        <x:v>https://github.com/Don-Sanvura/Civic-connect/blob/f874f5cba35cb326c7a3aabeaa0e183f4eedb4b4/docs/requirements/functional-requirements.csv</x:v>
      </x:c>
      <x:c r="V29" s="9" t="str">
        <x:v>f874f5cba35cb326c7a3aabeaa0e183f4eedb4b4</x:v>
      </x:c>
    </x:row>
    <x:row r="30" ht="84" customHeight="1">
      <x:c r="A30" s="10" t="str">
        <x:v>FR-025</x:v>
      </x:c>
      <x:c r="B30" s="10" t="str">
        <x:v>TR-007</x:v>
      </x:c>
      <x:c r="C30" s="10" t="str">
        <x:v>Immutable audit trail</x:v>
      </x:c>
      <x:c r="D30" s="10" t="str">
        <x:v>The system shall record every status change and every assignment change with the acting user, timestamp, previous value and new value, and shall not permit these records to be edited or deleted through the application.</x:v>
      </x:c>
      <x:c r="E30" s="10" t="str">
        <x:v>AC-025</x:v>
      </x:c>
      <x:c r="F30" s="10" t="str">
        <x:v>Given a request that has undergone k status or assignment changes, when the history is viewed, then exactly k ordered entries are shown each with actor, UTC timestamp, previous value and new value; and no application function exists that edits or deletes an entry.</x:v>
      </x:c>
      <x:c r="G30" s="10" t="str">
        <x:v>Must</x:v>
      </x:c>
      <x:c r="H30" s="10" t="str">
        <x:v>SH-04 / Master Brief 2.0 - 'weak accountability for changes to request status'</x:v>
      </x:c>
      <x:c r="I30" s="10" t="str">
        <x:v>Every status and assignment change must be attributable</x:v>
      </x:c>
      <x:c r="J30" s="10" t="str">
        <x:v>SCOPE-I-12 (explicit baseline mapping)</x:v>
      </x:c>
      <x:c r="K30" s="10" t="str">
        <x:v>Functional test + code review + negative test (NFR-006)</x:v>
      </x:c>
      <x:c r="L30" s="10" t="str">
        <x:v>record appends actor/time/previous/new; history exposed via getRequest; no audit edit/delete routes. Memory is volatile; actor equals bearer secret.</x:v>
      </x:c>
      <x:c r="M30" s="10" t="str">
        <x:v>TST-019,022,028; QA-P01,P02,P07,P09,P10</x:v>
      </x:c>
      <x:c r="N30" s="10" t="str">
        <x:v>Correct prior note snapshots and unaudited changes, separate identity, define change-events versus REQUEST_CREATED count. Verify k exact ordered changes, no mutation endpoints and persistence.</x:v>
      </x:c>
      <x:c r="O30" s="10" t="str">
        <x:v>FAILED</x:v>
      </x:c>
      <x:c r="P30" s="10" t="str">
        <x:v>Not accepted; demonstrated defect</x:v>
      </x:c>
      <x:c r="Q30" s="10" t="str">
        <x:v>Masego</x:v>
      </x:c>
      <x:c r="R30" s="10" t="str">
        <x:v>FV-25</x:v>
      </x:c>
      <x:c r="S30" s="10" t="str">
        <x:v>DEC-008 Deferred; ADR-013 Proposed. No approved detailed design located.</x:v>
      </x:c>
      <x:c r="T30" s="10" t="str">
        <x:v>GAP — not implemented/tested</x:v>
      </x:c>
      <x:c r="U30" s="10" t="str">
        <x:v>https://github.com/Don-Sanvura/Civic-connect/blob/f874f5cba35cb326c7a3aabeaa0e183f4eedb4b4/docs/requirements/functional-requirements.csv</x:v>
      </x:c>
      <x:c r="V30" s="10" t="str">
        <x:v>f874f5cba35cb326c7a3aabeaa0e183f4eedb4b4</x:v>
      </x:c>
    </x:row>
    <x:row r="31" ht="70" customHeight="1">
      <x:c r="A31" s="9" t="str">
        <x:v>FR-026</x:v>
      </x:c>
      <x:c r="B31" s="9" t="str">
        <x:v>TR-025</x:v>
      </x:c>
      <x:c r="C31" s="9" t="str">
        <x:v>Duplicate submission prompt</x:v>
      </x:c>
      <x:c r="D31" s="9" t="str">
        <x:v>On submission the system shall warn the Requester when an open request with the same category and location already exists, while still permitting submission.</x:v>
      </x:c>
      <x:c r="E31" s="9" t="str">
        <x:v>AC-026</x:v>
      </x:c>
      <x:c r="F31" s="9" t="str">
        <x:v>Given an existing open request with category C and location L, when a Requester submits a new request with category C and location L, then a warning listing the possible duplicate is displayed and the Requester may confirm or cancel.</x:v>
      </x:c>
      <x:c r="G31" s="9" t="str">
        <x:v>Could</x:v>
      </x:c>
      <x:c r="H31" s="9" t="str">
        <x:v>SH-02 / Master Brief 2.0 - 'requests may be duplicated'</x:v>
      </x:c>
      <x:c r="I31" s="9" t="str">
        <x:v>Duplicate submissions should be reduced</x:v>
      </x:c>
      <x:c r="J31" s="9" t="str">
        <x:v>No explicit scope-row mapping; retained Could baseline requirement; applicability needs clarification</x:v>
      </x:c>
      <x:c r="K31" s="9" t="str">
        <x:v>Functional test</x:v>
      </x:c>
      <x:c r="L31" s="9" t="str">
        <x:v>No duplicate lookup, warning, confirm/cancel UI or two-stage submission.</x:v>
      </x:c>
      <x:c r="M31" s="9" t="str">
        <x:v>TST-028 does not cover FR-026</x:v>
      </x:c>
      <x:c r="N31" s="9" t="str">
        <x:v>Seed an actual open request with same category/location, verify warning and confirm/cancel; test terminal and different-location exclusions. Scope register omits this Could requirement; clarify without deleting it.</x:v>
      </x:c>
      <x:c r="O31" s="9" t="str">
        <x:v>GAP</x:v>
      </x:c>
      <x:c r="P31" s="9" t="str">
        <x:v>Not accepted; full criterion evidence incomplete</x:v>
      </x:c>
      <x:c r="Q31" s="9" t="str">
        <x:v>Masego</x:v>
      </x:c>
      <x:c r="R31" s="9" t="str">
        <x:v>FV-26</x:v>
      </x:c>
      <x:c r="S31" s="9" t="str">
        <x:v>DEC-008 Deferred; ADR-013 Proposed. No approved detailed design located.</x:v>
      </x:c>
      <x:c r="T31" s="9" t="str">
        <x:v>GAP — not implemented/tested</x:v>
      </x:c>
      <x:c r="U31" s="9" t="str">
        <x:v>https://github.com/Don-Sanvura/Civic-connect/blob/f874f5cba35cb326c7a3aabeaa0e183f4eedb4b4/docs/requirements/functional-requirements.csv</x:v>
      </x:c>
      <x:c r="V31" s="9" t="str">
        <x:v>f874f5cba35cb326c7a3aabeaa0e183f4eedb4b4</x:v>
      </x:c>
    </x:row>
    <x:row r="32" ht="70" customHeight="1">
      <x:c r="A32" s="10" t="str">
        <x:v>NFR-001</x:v>
      </x:c>
      <x:c r="B32" s="10" t="str">
        <x:v>TR-020</x:v>
      </x:c>
      <x:c r="C32" s="10" t="str">
        <x:v>Performance - list response</x:v>
      </x:c>
      <x:c r="D32" s="10" t="str">
        <x:v>The 95th percentile server response time for a filtered request list of up to 500 records shall not exceed 2.0 seconds with 10 concurrent users on a warm instance.</x:v>
      </x:c>
      <x:c r="E32" s="10" t="str">
        <x:v>AC-N001</x:v>
      </x:c>
      <x:c r="F32" s="10" t="str">
        <x:v>A load test of 10 concurrent users over 5 minutes against a 500-record data set reports a 95th percentile response time of 2.0 seconds or less. Cold-start latency is measured and reported separately (see NFR-002).</x:v>
      </x:c>
      <x:c r="G32" s="10" t="str">
        <x:v>Must</x:v>
      </x:c>
      <x:c r="H32" s="10" t="str">
        <x:v>SH-02, SH-04 / CN-04</x:v>
      </x:c>
      <x:c r="I32" s="10" t="str">
        <x:v>The system must remain responsive at realistic volume</x:v>
      </x:c>
      <x:c r="J32" s="10" t="str">
        <x:v>Cross-cutting NFR; no explicit scope-row mapping in baseline CSV</x:v>
      </x:c>
      <x:c r="K32" s="10" t="str">
        <x:v>Load test, M3</x:v>
      </x:c>
      <x:c r="L32" s="10" t="str">
        <x:v>Runner POSTs 25 concurrent submissions once; it never tests filtered GET for 5 minutes.</x:v>
      </x:c>
      <x:c r="M32" s="10" t="str">
        <x:v>CI synthetic run: 25 success, 0 failure, p95 42.087963ms</x:v>
      </x:c>
      <x:c r="N32" s="10" t="str">
        <x:v>500 seeded records, warm instance, 10 concurrent users for 300 seconds on filtered GET. Save raw samples/errors, p95 &lt;=2000ms and separate cold-start result.</x:v>
      </x:c>
      <x:c r="O32" s="10" t="str">
        <x:v>GAP</x:v>
      </x:c>
      <x:c r="P32" s="10" t="str">
        <x:v>Not accepted; full criterion evidence incomplete</x:v>
      </x:c>
      <x:c r="Q32" s="10" t="str">
        <x:v>Don</x:v>
      </x:c>
      <x:c r="R32" s="10" t="str">
        <x:v>NV-01</x:v>
      </x:c>
      <x:c r="S32" s="10" t="str">
        <x:v>DEC-008 Deferred; ADR-013 Proposed. No approved detailed design located.</x:v>
      </x:c>
      <x:c r="T32" s="10" t="str">
        <x:v>GAP — not implemented/tested</x:v>
      </x:c>
      <x:c r="U32" s="10" t="str">
        <x:v>https://github.com/Don-Sanvura/Civic-connect/blob/f874f5cba35cb326c7a3aabeaa0e183f4eedb4b4/docs/requirements/non-functional-requirements.csv</x:v>
      </x:c>
      <x:c r="V32" s="10" t="str">
        <x:v>f874f5cba35cb326c7a3aabeaa0e183f4eedb4b4</x:v>
      </x:c>
    </x:row>
    <x:row r="33" ht="84" customHeight="1">
      <x:c r="A33" s="9" t="str">
        <x:v>NFR-002</x:v>
      </x:c>
      <x:c r="B33" s="9" t="str">
        <x:v>TR-033</x:v>
      </x:c>
      <x:c r="C33" s="9" t="str">
        <x:v>Availability</x:v>
      </x:c>
      <x:c r="D33" s="9" t="str">
        <x:v>The staging deployment shall be available at least 95% of the time between 07:00 and 18:00 SAST on weekdays across the M3 evaluation period. Cold-start latency of up to 30 seconds after idle is a declared and accepted limitation of the free-tier hosting constraint.</x:v>
      </x:c>
      <x:c r="E33" s="9" t="str">
        <x:v>AC-N002</x:v>
      </x:c>
      <x:c r="F33" s="9" t="str">
        <x:v>An uptime log across the evaluation period shows availability of 95% or more within the stated window, and the observed cold-start latency is recorded as a known limitation in the PED.</x:v>
      </x:c>
      <x:c r="G33" s="9" t="str">
        <x:v>Should</x:v>
      </x:c>
      <x:c r="H33" s="9" t="str">
        <x:v>SH-01, SH-06 / CN-03</x:v>
      </x:c>
      <x:c r="I33" s="9" t="str">
        <x:v>The service must be reliably reachable during working hours</x:v>
      </x:c>
      <x:c r="J33" s="9" t="str">
        <x:v>Cross-cutting NFR; no explicit scope-row mapping in baseline CSV</x:v>
      </x:c>
      <x:c r="K33" s="9" t="str">
        <x:v>Uptime monitoring log, M3</x:v>
      </x:c>
      <x:c r="L33" s="9" t="str">
        <x:v>Health endpoint and local staging instructions exist. No hosted evaluation-period uptime log.</x:v>
      </x:c>
      <x:c r="M33" s="9" t="str">
        <x:v>No uptime execution evidence located</x:v>
      </x:c>
      <x:c r="N33" s="9" t="str">
        <x:v>Record evaluation period and weekday 07:00-18:00 SAST probes. Availability &gt;=95% over that window, probe failures and denominator preserved; record observed cold start and accepted &lt;=30-second limitation.</x:v>
      </x:c>
      <x:c r="O33" s="9" t="str">
        <x:v>AWAITING EVIDENCE</x:v>
      </x:c>
      <x:c r="P33" s="9" t="str">
        <x:v>Not accepted; full criterion evidence incomplete</x:v>
      </x:c>
      <x:c r="Q33" s="9" t="str">
        <x:v>Don</x:v>
      </x:c>
      <x:c r="R33" s="9" t="str">
        <x:v>NV-02</x:v>
      </x:c>
      <x:c r="S33" s="9" t="str">
        <x:v>DEC-008 Deferred; ADR-013 Proposed. No approved detailed design located.</x:v>
      </x:c>
      <x:c r="T33" s="9" t="str">
        <x:v>GAP — not implemented/tested</x:v>
      </x:c>
      <x:c r="U33" s="9" t="str">
        <x:v>https://github.com/Don-Sanvura/Civic-connect/blob/f874f5cba35cb326c7a3aabeaa0e183f4eedb4b4/docs/requirements/non-functional-requirements.csv</x:v>
      </x:c>
      <x:c r="V33" s="9" t="str">
        <x:v>f874f5cba35cb326c7a3aabeaa0e183f4eedb4b4</x:v>
      </x:c>
    </x:row>
    <x:row r="34" ht="70" customHeight="1">
      <x:c r="A34" s="10" t="str">
        <x:v>NFR-003</x:v>
      </x:c>
      <x:c r="B34" s="10" t="str">
        <x:v>TR-034</x:v>
      </x:c>
      <x:c r="C34" s="10" t="str">
        <x:v>Credential storage</x:v>
      </x:c>
      <x:c r="D34" s="10" t="str">
        <x:v>Passwords shall be stored only as a salted adaptive hash (bcrypt with cost factor 10 or greater, or Argon2id). No password shall be stored in plaintext or in any reversible form.</x:v>
      </x:c>
      <x:c r="E34" s="10" t="str">
        <x:v>AC-N003</x:v>
      </x:c>
      <x:c r="F34" s="10" t="str">
        <x:v>Inspection of the stored user records shows no plaintext or reversible password value, and code review confirms the hashing algorithm and cost factor.</x:v>
      </x:c>
      <x:c r="G34" s="10" t="str">
        <x:v>Must</x:v>
      </x:c>
      <x:c r="H34" s="10" t="str">
        <x:v>SH-09 / CN-05</x:v>
      </x:c>
      <x:c r="I34" s="10" t="str">
        <x:v>Credentials must not be recoverable from storage</x:v>
      </x:c>
      <x:c r="J34" s="10" t="str">
        <x:v>SCOPE-I-01 (explicit baseline mapping)</x:v>
      </x:c>
      <x:c r="K34" s="10" t="str">
        <x:v>Database inspection + code review, M3</x:v>
      </x:c>
      <x:c r="L34" s="10" t="str">
        <x:v>No passwords or user records. Demo tokens replace authentication rather than satisfy password storage.</x:v>
      </x:c>
      <x:c r="M34" s="10" t="str">
        <x:v>No hash inspection evidence</x:v>
      </x:c>
      <x:c r="N34" s="10" t="str">
        <x:v>After approved identity choice, inspect synthetic stored records and implementation for bcrypt cost &gt;=10 or Argon2id. If managed provider, document actual storage assurance and scope; no vacuous pass because passwords are absent.</x:v>
      </x:c>
      <x:c r="O34" s="10" t="str">
        <x:v>GAP</x:v>
      </x:c>
      <x:c r="P34" s="10" t="str">
        <x:v>Not accepted; full criterion evidence incomplete</x:v>
      </x:c>
      <x:c r="Q34" s="10" t="str">
        <x:v>Don</x:v>
      </x:c>
      <x:c r="R34" s="10" t="str">
        <x:v>NV-03</x:v>
      </x:c>
      <x:c r="S34" s="10" t="str">
        <x:v>DEC-008 Deferred; ADR-013 Proposed. No approved detailed design located.</x:v>
      </x:c>
      <x:c r="T34" s="10" t="str">
        <x:v>GAP — not implemented/tested</x:v>
      </x:c>
      <x:c r="U34" s="10" t="str">
        <x:v>https://github.com/Don-Sanvura/Civic-connect/blob/f874f5cba35cb326c7a3aabeaa0e183f4eedb4b4/docs/requirements/non-functional-requirements.csv</x:v>
      </x:c>
      <x:c r="V34" s="10" t="str">
        <x:v>f874f5cba35cb326c7a3aabeaa0e183f4eedb4b4</x:v>
      </x:c>
    </x:row>
    <x:row r="35" ht="70" customHeight="1">
      <x:c r="A35" s="9" t="str">
        <x:v>NFR-004</x:v>
      </x:c>
      <x:c r="B35" s="9" t="str">
        <x:v>TR-017</x:v>
      </x:c>
      <x:c r="C35" s="9" t="str">
        <x:v>Authorisation enforcement</x:v>
      </x:c>
      <x:c r="D35" s="9" t="str">
        <x:v>100% of role-restricted operations shall reject a request from an unauthorised role with an authorisation error and without any state change.</x:v>
      </x:c>
      <x:c r="E35" s="9" t="str">
        <x:v>AC-N004</x:v>
      </x:c>
      <x:c r="F35" s="9" t="str">
        <x:v>An automated test matrix covering every role against every restricted operation reports zero unauthorised successes.</x:v>
      </x:c>
      <x:c r="G35" s="9" t="str">
        <x:v>Must</x:v>
      </x:c>
      <x:c r="H35" s="9" t="str">
        <x:v>CN-05 / Master Brief 16</x:v>
      </x:c>
      <x:c r="I35" s="9" t="str">
        <x:v>Authorisation must be enforced, not assumed</x:v>
      </x:c>
      <x:c r="J35" s="9" t="str">
        <x:v>SCOPE-I-01 (explicit baseline mapping)</x:v>
      </x:c>
      <x:c r="K35" s="9" t="str">
        <x:v>Automated role x operation matrix test, M3</x:v>
      </x:c>
      <x:c r="L35" s="9" t="str">
        <x:v>Subset guards exist. Credential-valued IDs permit impersonation; admin permissions lack approved matrix.</x:v>
      </x:c>
      <x:c r="M35" s="9" t="str">
        <x:v>TST-008,011,015,018,023,025; QA-P07</x:v>
      </x:c>
      <x:c r="N35" s="9" t="str">
        <x:v>Cross each role, unauthenticated and invalid token with every restricted operation and resource-ownership relation. Assert authorisation error and unchanged complete state/audit on denial; zero unauthorised successes.</x:v>
      </x:c>
      <x:c r="O35" s="9" t="str">
        <x:v>FAILED</x:v>
      </x:c>
      <x:c r="P35" s="9" t="str">
        <x:v>Not accepted; demonstrated defect</x:v>
      </x:c>
      <x:c r="Q35" s="9" t="str">
        <x:v>Don with Masego</x:v>
      </x:c>
      <x:c r="R35" s="9" t="str">
        <x:v>NV-04</x:v>
      </x:c>
      <x:c r="S35" s="9" t="str">
        <x:v>DEC-008 Deferred; ADR-013 Proposed. No approved detailed design located.</x:v>
      </x:c>
      <x:c r="T35" s="9" t="str">
        <x:v>PARTIAL — verify exact baseline acceptance criteria</x:v>
      </x:c>
      <x:c r="U35" s="9" t="str">
        <x:v>https://github.com/Don-Sanvura/Civic-connect/blob/f874f5cba35cb326c7a3aabeaa0e183f4eedb4b4/docs/requirements/non-functional-requirements.csv</x:v>
      </x:c>
      <x:c r="V35" s="9" t="str">
        <x:v>f874f5cba35cb326c7a3aabeaa0e183f4eedb4b4</x:v>
      </x:c>
    </x:row>
    <x:row r="36" ht="84" customHeight="1">
      <x:c r="A36" s="10" t="str">
        <x:v>NFR-005</x:v>
      </x:c>
      <x:c r="B36" s="10" t="str">
        <x:v>TR-018</x:v>
      </x:c>
      <x:c r="C36" s="10" t="str">
        <x:v>Secrets handling</x:v>
      </x:c>
      <x:c r="D36" s="10" t="str">
        <x:v>No password, API key, token, connection string or private key shall be present in the repository or in its commit history.</x:v>
      </x:c>
      <x:c r="E36" s="10" t="str">
        <x:v>AC-N005</x:v>
      </x:c>
      <x:c r="F36" s="10" t="str">
        <x:v>An automated secret scan on every pull request and a full-history scan both report zero findings.</x:v>
      </x:c>
      <x:c r="G36" s="10" t="str">
        <x:v>Must</x:v>
      </x:c>
      <x:c r="H36" s="10" t="str">
        <x:v>CN-05 / Master Brief 9</x:v>
      </x:c>
      <x:c r="I36" s="10" t="str">
        <x:v>No credential may exist in the repository</x:v>
      </x:c>
      <x:c r="J36" s="10" t="str">
        <x:v>Cross-cutting NFR; no explicit scope-row mapping in baseline CSV</x:v>
      </x:c>
      <x:c r="K36" s="10" t="str">
        <x:v>Automated secret scan, from M1</x:v>
      </x:c>
      <x:c r="L36" s="10" t="str">
        <x:v>PR/push scans configured; known functional demo tokens are tracked. Main Gitleaks log says 0 commits scanned.</x:v>
      </x:c>
      <x:c r="M36" s="10" t="str">
        <x:v>CI main scan passes; log range is --no-merges --first-parent and 0 commits scanned</x:v>
      </x:c>
      <x:c r="N36" s="10" t="str">
        <x:v>Run explicitly full reachable-history scanner including merged feature commits; record scanner/version/config/ref range and zero findings. Remove functional demo secrets from committed examples/UI and rotate if used. Obtain actual native control evidence.</x:v>
      </x:c>
      <x:c r="O36" s="10" t="str">
        <x:v>FAILED / EVIDENCE GAP</x:v>
      </x:c>
      <x:c r="P36" s="10" t="str">
        <x:v>Not accepted; demonstrated defect</x:v>
      </x:c>
      <x:c r="Q36" s="10" t="str">
        <x:v>Don</x:v>
      </x:c>
      <x:c r="R36" s="10" t="str">
        <x:v>NV-05</x:v>
      </x:c>
      <x:c r="S36" s="10" t="str">
        <x:v>DEC-008 Deferred; ADR-013 Proposed. No approved detailed design located.</x:v>
      </x:c>
      <x:c r="T36" s="10" t="str">
        <x:v>GAP — not implemented/tested</x:v>
      </x:c>
      <x:c r="U36" s="10" t="str">
        <x:v>https://github.com/Don-Sanvura/Civic-connect/blob/f874f5cba35cb326c7a3aabeaa0e183f4eedb4b4/docs/requirements/non-functional-requirements.csv</x:v>
      </x:c>
      <x:c r="V36" s="10" t="str">
        <x:v>f874f5cba35cb326c7a3aabeaa0e183f4eedb4b4</x:v>
      </x:c>
    </x:row>
    <x:row r="37" ht="70" customHeight="1">
      <x:c r="A37" s="9" t="str">
        <x:v>NFR-006</x:v>
      </x:c>
      <x:c r="B37" s="9" t="str">
        <x:v>TR-008</x:v>
      </x:c>
      <x:c r="C37" s="9" t="str">
        <x:v>Auditability</x:v>
      </x:c>
      <x:c r="D37" s="9" t="str">
        <x:v>100% of status and assignment changes shall be recorded with actor, UTC timestamp, previous value and new value, and shall not be modifiable through the application.</x:v>
      </x:c>
      <x:c r="E37" s="9" t="str">
        <x:v>AC-N006</x:v>
      </x:c>
      <x:c r="F37" s="9" t="str">
        <x:v>For a scripted sequence of k changes, the audit record contains exactly k entries with all four fields populated, and no application endpoint accepts an update or delete against an audit entry.</x:v>
      </x:c>
      <x:c r="G37" s="9" t="str">
        <x:v>Must</x:v>
      </x:c>
      <x:c r="H37" s="9" t="str">
        <x:v>SH-04, SH-09 / CN-05</x:v>
      </x:c>
      <x:c r="I37" s="9" t="str">
        <x:v>Every status and assignment change must be attributable</x:v>
      </x:c>
      <x:c r="J37" s="9" t="str">
        <x:v>SCOPE-I-12 (explicit baseline mapping)</x:v>
      </x:c>
      <x:c r="K37" s="9" t="str">
        <x:v>Functional test + negative test, M3</x:v>
      </x:c>
      <x:c r="L37" s="9" t="str">
        <x:v>In-memory append-only API surface but incomplete integrity and actor-secret exposure.</x:v>
      </x:c>
      <x:c r="M37" s="9" t="str">
        <x:v>TST-019,022,028; QA-P01,P02,P09</x:v>
      </x:c>
      <x:c r="N37" s="9" t="str">
        <x:v>Script k status/assignment changes; inspect exact actor, UTC, old/new and order for every change. Separately account for creation event. Refused operations preserve data; PATCH/DELETE audit rejected; verify durable design if claimed.</x:v>
      </x:c>
      <x:c r="O37" s="9" t="str">
        <x:v>FAILED</x:v>
      </x:c>
      <x:c r="P37" s="9" t="str">
        <x:v>Not accepted; demonstrated defect</x:v>
      </x:c>
      <x:c r="Q37" s="9" t="str">
        <x:v>Don with Masego</x:v>
      </x:c>
      <x:c r="R37" s="9" t="str">
        <x:v>NV-06</x:v>
      </x:c>
      <x:c r="S37" s="9" t="str">
        <x:v>DEC-008 Deferred; ADR-013 Proposed. No approved detailed design located.</x:v>
      </x:c>
      <x:c r="T37" s="9" t="str">
        <x:v>PARTIAL — verify exact baseline acceptance criteria</x:v>
      </x:c>
      <x:c r="U37" s="9" t="str">
        <x:v>https://github.com/Don-Sanvura/Civic-connect/blob/f874f5cba35cb326c7a3aabeaa0e183f4eedb4b4/docs/requirements/non-functional-requirements.csv</x:v>
      </x:c>
      <x:c r="V37" s="9" t="str">
        <x:v>f874f5cba35cb326c7a3aabeaa0e183f4eedb4b4</x:v>
      </x:c>
    </x:row>
    <x:row r="38" ht="70" customHeight="1">
      <x:c r="A38" s="10" t="str">
        <x:v>NFR-007</x:v>
      </x:c>
      <x:c r="B38" s="10" t="str">
        <x:v>TR-035</x:v>
      </x:c>
      <x:c r="C38" s="10" t="str">
        <x:v>Usability of submission</x:v>
      </x:c>
      <x:c r="D38" s="10" t="str">
        <x:v>An untrained Requester shall complete a valid submission within 3 minutes and no more than 3 screens.</x:v>
      </x:c>
      <x:c r="E38" s="10" t="str">
        <x:v>AC-N007</x:v>
      </x:c>
      <x:c r="F38" s="10" t="str">
        <x:v>In a moderated test with 5 representative participants, at least 4 complete a valid submission unaided within 3 minutes.</x:v>
      </x:c>
      <x:c r="G38" s="10" t="str">
        <x:v>Should</x:v>
      </x:c>
      <x:c r="H38" s="10" t="str">
        <x:v>SH-01 / Master Brief 3.0</x:v>
      </x:c>
      <x:c r="I38" s="10" t="str">
        <x:v>Submission must be achievable without training</x:v>
      </x:c>
      <x:c r="J38" s="10" t="str">
        <x:v>Cross-cutting NFR; no explicit scope-row mapping in baseline CSV</x:v>
      </x:c>
      <x:c r="K38" s="10" t="str">
        <x:v>Moderated usability test, M3</x:v>
      </x:c>
      <x:c r="L38" s="10" t="str">
        <x:v>One-screen form exists; no participant study.</x:v>
      </x:c>
      <x:c r="M38" s="10" t="str">
        <x:v>TST-026 only checks HTML text</x:v>
      </x:c>
      <x:c r="N38" s="10" t="str">
        <x:v>Moderated unaided test with 5 representative participants, &gt;=4 valid submissions &lt;=180 seconds. Record consent-appropriate anonymised tasks/times/outcomes/screens/help. Do not invent participants or human observation.</x:v>
      </x:c>
      <x:c r="O38" s="10" t="str">
        <x:v>AWAITING EVIDENCE</x:v>
      </x:c>
      <x:c r="P38" s="10" t="str">
        <x:v>Not accepted; full criterion evidence incomplete</x:v>
      </x:c>
      <x:c r="Q38" s="10" t="str">
        <x:v>Emile with Masego</x:v>
      </x:c>
      <x:c r="R38" s="10" t="str">
        <x:v>NV-07</x:v>
      </x:c>
      <x:c r="S38" s="10" t="str">
        <x:v>DEC-008 Deferred; ADR-013 Proposed. No approved detailed design located.</x:v>
      </x:c>
      <x:c r="T38" s="10" t="str">
        <x:v>GAP — not implemented/tested</x:v>
      </x:c>
      <x:c r="U38" s="10" t="str">
        <x:v>https://github.com/Don-Sanvura/Civic-connect/blob/f874f5cba35cb326c7a3aabeaa0e183f4eedb4b4/docs/requirements/non-functional-requirements.csv</x:v>
      </x:c>
      <x:c r="V38" s="10" t="str">
        <x:v>f874f5cba35cb326c7a3aabeaa0e183f4eedb4b4</x:v>
      </x:c>
    </x:row>
    <x:row r="39" ht="84" customHeight="1">
      <x:c r="A39" s="9" t="str">
        <x:v>NFR-008</x:v>
      </x:c>
      <x:c r="B39" s="9" t="str">
        <x:v>TR-036</x:v>
      </x:c>
      <x:c r="C39" s="9" t="str">
        <x:v>Accessibility</x:v>
      </x:c>
      <x:c r="D39" s="9" t="str">
        <x:v>Body text shall meet a contrast ratio of at least 4.5:1, every form input shall carry a programmatic label, and the submission flow shall be fully keyboard operable (WCAG 2.1 AA subset).</x:v>
      </x:c>
      <x:c r="E39" s="9" t="str">
        <x:v>AC-N008</x:v>
      </x:c>
      <x:c r="F39" s="9" t="str">
        <x:v>An automated accessibility check reports zero contrast or missing-label violations on the submission and request-detail screens, and the submission flow is completed using keyboard input only.</x:v>
      </x:c>
      <x:c r="G39" s="9" t="str">
        <x:v>Should</x:v>
      </x:c>
      <x:c r="H39" s="9" t="str">
        <x:v>SH-01</x:v>
      </x:c>
      <x:c r="I39" s="9" t="str">
        <x:v>The service must be usable by people with visual or motor impairment</x:v>
      </x:c>
      <x:c r="J39" s="9" t="str">
        <x:v>Cross-cutting NFR; no explicit scope-row mapping in baseline CSV</x:v>
      </x:c>
      <x:c r="K39" s="9" t="str">
        <x:v>Automated accessibility scan + manual keyboard walkthrough, M3</x:v>
      </x:c>
      <x:c r="L39" s="9" t="str">
        <x:v>Labels, aria-live and focus style exist; no request-detail screen.</x:v>
      </x:c>
      <x:c r="M39" s="9" t="str">
        <x:v>TST-026 is route/string smoke only</x:v>
      </x:c>
      <x:c r="N39" s="9" t="str">
        <x:v>Automated contrast and label scan on submission and request-detail screens with zero violations, body contrast &gt;=4.5:1, plus recorded keyboard-only submission. Save tool/version/viewport/report and walkthrough; verify focus and error association.</x:v>
      </x:c>
      <x:c r="O39" s="9" t="str">
        <x:v>PARTIAL</x:v>
      </x:c>
      <x:c r="P39" s="9" t="str">
        <x:v>Not accepted; full criterion evidence incomplete</x:v>
      </x:c>
      <x:c r="Q39" s="9" t="str">
        <x:v>Emile with Masego</x:v>
      </x:c>
      <x:c r="R39" s="9" t="str">
        <x:v>NV-08</x:v>
      </x:c>
      <x:c r="S39" s="9" t="str">
        <x:v>DEC-008 Deferred; ADR-013 Proposed. No approved detailed design located.</x:v>
      </x:c>
      <x:c r="T39" s="9" t="str">
        <x:v>GAP — not implemented/tested</x:v>
      </x:c>
      <x:c r="U39" s="9" t="str">
        <x:v>https://github.com/Don-Sanvura/Civic-connect/blob/f874f5cba35cb326c7a3aabeaa0e183f4eedb4b4/docs/requirements/non-functional-requirements.csv</x:v>
      </x:c>
      <x:c r="V39" s="9" t="str">
        <x:v>f874f5cba35cb326c7a3aabeaa0e183f4eedb4b4</x:v>
      </x:c>
    </x:row>
    <x:row r="40" ht="70" customHeight="1">
      <x:c r="A40" s="10" t="str">
        <x:v>NFR-009</x:v>
      </x:c>
      <x:c r="B40" s="10" t="str">
        <x:v>TR-037</x:v>
      </x:c>
      <x:c r="C40" s="10" t="str">
        <x:v>Maintainability</x:v>
      </x:c>
      <x:c r="D40" s="10" t="str">
        <x:v>Automated unit tests shall cover at least 70% of lines in the business/service layer, and static analysis shall report zero critical findings on the main branch.</x:v>
      </x:c>
      <x:c r="E40" s="10" t="str">
        <x:v>AC-N009</x:v>
      </x:c>
      <x:c r="F40" s="10" t="str">
        <x:v>The pipeline coverage report shows 70% or more line coverage for the business/service layer and the static-analysis stage reports zero critical findings.</x:v>
      </x:c>
      <x:c r="G40" s="10" t="str">
        <x:v>Should</x:v>
      </x:c>
      <x:c r="H40" s="10" t="str">
        <x:v>SH-07 / CN-04, CN-06</x:v>
      </x:c>
      <x:c r="I40" s="10" t="str">
        <x:v>The system must remain changeable by a three-person team</x:v>
      </x:c>
      <x:c r="J40" s="10" t="str">
        <x:v>Cross-cutting NFR; no explicit scope-row mapping in baseline CSV</x:v>
      </x:c>
      <x:c r="K40" s="10" t="str">
        <x:v>CI report, M3</x:v>
      </x:c>
      <x:c r="L40" s="10" t="str">
        <x:v>CI syntax tests and CodeQL run. No CI coverage collection or critical-finding gate.</x:v>
      </x:c>
      <x:c r="M40" s="10" t="str">
        <x:v>Local Node24 app.js line97.78%, branch71.76%; CodeQL job success</x:v>
      </x:c>
      <x:c r="N40" s="10" t="str">
        <x:v>Pipeline report must show &gt;=70% lines for defined business/service layer and zero critical static findings. Separate embedded client string from executed browser JS; obtain actual alert/SARIF result rather than job success alone.</x:v>
      </x:c>
      <x:c r="O40" s="10" t="str">
        <x:v>PARTIAL</x:v>
      </x:c>
      <x:c r="P40" s="10" t="str">
        <x:v>Not accepted; full criterion evidence incomplete</x:v>
      </x:c>
      <x:c r="Q40" s="10" t="str">
        <x:v>Don with Emile</x:v>
      </x:c>
      <x:c r="R40" s="10" t="str">
        <x:v>NV-09</x:v>
      </x:c>
      <x:c r="S40" s="10" t="str">
        <x:v>DEC-008 Deferred; ADR-013 Proposed. No approved detailed design located.</x:v>
      </x:c>
      <x:c r="T40" s="10" t="str">
        <x:v>GAP — not implemented/tested</x:v>
      </x:c>
      <x:c r="U40" s="10" t="str">
        <x:v>https://github.com/Don-Sanvura/Civic-connect/blob/f874f5cba35cb326c7a3aabeaa0e183f4eedb4b4/docs/requirements/non-functional-requirements.csv</x:v>
      </x:c>
      <x:c r="V40" s="10" t="str">
        <x:v>f874f5cba35cb326c7a3aabeaa0e183f4eedb4b4</x:v>
      </x:c>
    </x:row>
    <x:row r="41" ht="70" customHeight="1">
      <x:c r="A41" s="9" t="str">
        <x:v>NFR-010</x:v>
      </x:c>
      <x:c r="B41" s="9" t="str">
        <x:v>TR-019</x:v>
      </x:c>
      <x:c r="C41" s="9" t="str">
        <x:v>Cost</x:v>
      </x:c>
      <x:c r="D41" s="9" t="str">
        <x:v>Recurring monetary cost shall be R0.00 for the duration of the academic project, and the projected operational cost at 100 active users and 1 000 requests per month shall be documented.</x:v>
      </x:c>
      <x:c r="E41" s="9" t="str">
        <x:v>AC-N010</x:v>
      </x:c>
      <x:c r="F41" s="9" t="str">
        <x:v>A platform cost review lists every service in use, its free-tier limit, current consumption against that limit, and a costed projection at the stated volume.</x:v>
      </x:c>
      <x:c r="G41" s="9" t="str">
        <x:v>Must</x:v>
      </x:c>
      <x:c r="H41" s="9" t="str">
        <x:v>CN-03, SH-06 / Master Brief 4</x:v>
      </x:c>
      <x:c r="I41" s="9" t="str">
        <x:v>The solution must not create an unsustainable financial burden</x:v>
      </x:c>
      <x:c r="J41" s="9" t="str">
        <x:v>Cross-cutting NFR; no explicit scope-row mapping in baseline CSV</x:v>
      </x:c>
      <x:c r="K41" s="9" t="str">
        <x:v>Cost review, M2 and M4</x:v>
      </x:c>
      <x:c r="L41" s="9" t="str">
        <x:v>No approved hosting/services selection or cost review. Zero runtime dependencies do not prove R0 operating cost.</x:v>
      </x:c>
      <x:c r="M41" s="9" t="str">
        <x:v>None</x:v>
      </x:c>
      <x:c r="N41" s="9" t="str">
        <x:v>List every service, currency, free-tier limits/current consumption and recurring R0.00 review. Project 100 active users/1000 requests monthly, including email/storage/backup/egress. Preserve dated provider terms and volume assumptions.</x:v>
      </x:c>
      <x:c r="O41" s="9" t="str">
        <x:v>AWAITING EVIDENCE</x:v>
      </x:c>
      <x:c r="P41" s="9" t="str">
        <x:v>Not accepted; full criterion evidence incomplete</x:v>
      </x:c>
      <x:c r="Q41" s="9" t="str">
        <x:v>Don</x:v>
      </x:c>
      <x:c r="R41" s="9" t="str">
        <x:v>NV-10</x:v>
      </x:c>
      <x:c r="S41" s="9" t="str">
        <x:v>DEC-008 Deferred; ADR-013 Proposed. No approved detailed design located.</x:v>
      </x:c>
      <x:c r="T41" s="9" t="str">
        <x:v>GAP — not implemented/tested</x:v>
      </x:c>
      <x:c r="U41" s="9" t="str">
        <x:v>https://github.com/Don-Sanvura/Civic-connect/blob/f874f5cba35cb326c7a3aabeaa0e183f4eedb4b4/docs/requirements/non-functional-requirements.csv</x:v>
      </x:c>
      <x:c r="V41" s="9" t="str">
        <x:v>f874f5cba35cb326c7a3aabeaa0e183f4eedb4b4</x:v>
      </x:c>
    </x:row>
    <x:row r="42" ht="70" customHeight="1">
      <x:c r="A42" s="10" t="str">
        <x:v>NFR-011</x:v>
      </x:c>
      <x:c r="B42" s="10" t="str">
        <x:v>TR-038</x:v>
      </x:c>
      <x:c r="C42" s="10" t="str">
        <x:v>Recoverability</x:v>
      </x:c>
      <x:c r="D42" s="10" t="str">
        <x:v>A backup of the request data shall be taken at least daily, a documented restore procedure shall exist, and a restore shall be verified at least once before M4. Recovery point objective 24 hours; recovery time objective 4 hours.</x:v>
      </x:c>
      <x:c r="E42" s="10" t="str">
        <x:v>AC-N011</x:v>
      </x:c>
      <x:c r="F42" s="10" t="str">
        <x:v>A backup schedule is evidenced, and a restore into a clean environment is performed and timed, producing a data set matching the source at the backup point within the stated RTO.</x:v>
      </x:c>
      <x:c r="G42" s="10" t="str">
        <x:v>Should</x:v>
      </x:c>
      <x:c r="H42" s="10" t="str">
        <x:v>SH-04, SH-06 / Master Brief 17</x:v>
      </x:c>
      <x:c r="I42" s="10" t="str">
        <x:v>Request data must survive loss of the environment</x:v>
      </x:c>
      <x:c r="J42" s="10" t="str">
        <x:v>Cross-cutting NFR; no explicit scope-row mapping in baseline CSV</x:v>
      </x:c>
      <x:c r="K42" s="10" t="str">
        <x:v>Documented restore rehearsal, M3/M4</x:v>
      </x:c>
      <x:c r="L42" s="10" t="str">
        <x:v>Request/audit Maps lost on new service/process. No backup scheduler or restore procedure.</x:v>
      </x:c>
      <x:c r="M42" s="10" t="str">
        <x:v>QA-P10: 2 records before, 0 after new instance</x:v>
      </x:c>
      <x:c r="N42" s="10" t="str">
        <x:v>Evidence daily schedule, backup timestamp and dataset; restore to clean environment and time &lt;=4h with data matching backup, RPO &lt;=24h. Include attachments only if approved scope.</x:v>
      </x:c>
      <x:c r="O42" s="10" t="str">
        <x:v>FAILED</x:v>
      </x:c>
      <x:c r="P42" s="10" t="str">
        <x:v>Not accepted; demonstrated defect</x:v>
      </x:c>
      <x:c r="Q42" s="10" t="str">
        <x:v>Don</x:v>
      </x:c>
      <x:c r="R42" s="10" t="str">
        <x:v>NV-11</x:v>
      </x:c>
      <x:c r="S42" s="10" t="str">
        <x:v>DEC-008 Deferred; ADR-013 Proposed. No approved detailed design located.</x:v>
      </x:c>
      <x:c r="T42" s="10" t="str">
        <x:v>GAP — not implemented/tested</x:v>
      </x:c>
      <x:c r="U42" s="10" t="str">
        <x:v>https://github.com/Don-Sanvura/Civic-connect/blob/f874f5cba35cb326c7a3aabeaa0e183f4eedb4b4/docs/requirements/non-functional-requirements.csv</x:v>
      </x:c>
      <x:c r="V42" s="10" t="str">
        <x:v>f874f5cba35cb326c7a3aabeaa0e183f4eedb4b4</x:v>
      </x:c>
    </x:row>
    <x:row r="43" ht="70" customHeight="1">
      <x:c r="A43" s="9" t="str">
        <x:v>NFR-012</x:v>
      </x:c>
      <x:c r="B43" s="9" t="str">
        <x:v>TR-015</x:v>
      </x:c>
      <x:c r="C43" s="9" t="str">
        <x:v>Privacy of requester information</x:v>
      </x:c>
      <x:c r="D43" s="9" t="str">
        <x:v>Requester contact details shall be visible only to the assigned Staff user, the Manager and the Administrator roles.</x:v>
      </x:c>
      <x:c r="E43" s="9" t="str">
        <x:v>AC-N012</x:v>
      </x:c>
      <x:c r="F43" s="9" t="str">
        <x:v>Negative-access tests confirm that a Requester and an unassigned Staff user cannot retrieve another requester's contact details through any interface, including direct record access.</x:v>
      </x:c>
      <x:c r="G43" s="9" t="str">
        <x:v>Must</x:v>
      </x:c>
      <x:c r="H43" s="9" t="str">
        <x:v>SH-09, CN-05 / CF-01</x:v>
      </x:c>
      <x:c r="I43" s="9" t="str">
        <x:v>Sensitive requester information must not be broadly visible</x:v>
      </x:c>
      <x:c r="J43" s="9" t="str">
        <x:v>Cross-cutting NFR; no explicit scope-row mapping in baseline CSV</x:v>
      </x:c>
      <x:c r="K43" s="9" t="str">
        <x:v>Automated negative-access test, M3</x:v>
      </x:c>
      <x:c r="L43" s="9" t="str">
        <x:v>No email/phone schema; request ownership checks exist. History and assignee fields disclose bearer credentials.</x:v>
      </x:c>
      <x:c r="M43" s="9" t="str">
        <x:v>TST-018 unrelated to actual contact fields; QA-P07</x:v>
      </x:c>
      <x:c r="N43" s="9" t="str">
        <x:v>Seed distinct synthetic contact values and test Requester/unassigned Staff cannot retrieve another requester contact through UI/list/detail/history/export/comments. Test assigned Staff/Manager/Admin allowed by policy. Mask tokens independently.</x:v>
      </x:c>
      <x:c r="O43" s="9" t="str">
        <x:v>AWAITING EVIDENCE / SECURITY FAILURE</x:v>
      </x:c>
      <x:c r="P43" s="9" t="str">
        <x:v>Not accepted; full criterion evidence incomplete</x:v>
      </x:c>
      <x:c r="Q43" s="9" t="str">
        <x:v>Don with Masego</x:v>
      </x:c>
      <x:c r="R43" s="9" t="str">
        <x:v>NV-12</x:v>
      </x:c>
      <x:c r="S43" s="9" t="str">
        <x:v>DEC-008 Deferred; ADR-013 Proposed. No approved detailed design located.</x:v>
      </x:c>
      <x:c r="T43" s="9" t="str">
        <x:v>GAP — not implemented/tested</x:v>
      </x:c>
      <x:c r="U43" s="9" t="str">
        <x:v>https://github.com/Don-Sanvura/Civic-connect/blob/f874f5cba35cb326c7a3aabeaa0e183f4eedb4b4/docs/requirements/non-functional-requirements.csv</x:v>
      </x:c>
      <x:c r="V43" s="9" t="str">
        <x:v>f874f5cba35cb326c7a3aabeaa0e183f4eedb4b4</x:v>
      </x:c>
    </x:row>
    <x:row r="44" ht="70" customHeight="1">
      <x:c r="A44" s="10" t="str">
        <x:v>NFR-013</x:v>
      </x:c>
      <x:c r="B44" s="10" t="str">
        <x:v>TR-039</x:v>
      </x:c>
      <x:c r="C44" s="10" t="str">
        <x:v>Capacity</x:v>
      </x:c>
      <x:c r="D44" s="10" t="str">
        <x:v>The system shall hold at least 500 user accounts and 5 000 request records within the selected free-tier storage limits without breaching NFR-001.</x:v>
      </x:c>
      <x:c r="E44" s="10" t="str">
        <x:v>AC-N013</x:v>
      </x:c>
      <x:c r="F44" s="10" t="str">
        <x:v>With 500 users and 5 000 requests seeded, storage consumption remains inside the documented free-tier limit and the NFR-001 load test still passes.</x:v>
      </x:c>
      <x:c r="G44" s="10" t="str">
        <x:v>Should</x:v>
      </x:c>
      <x:c r="H44" s="10" t="str">
        <x:v>SH-06 / CN-03</x:v>
      </x:c>
      <x:c r="I44" s="10" t="str">
        <x:v>The system must hold realistic volume inside free-tier limits</x:v>
      </x:c>
      <x:c r="J44" s="10" t="str">
        <x:v>Cross-cutting NFR; no explicit scope-row mapping in baseline CSV</x:v>
      </x:c>
      <x:c r="K44" s="10" t="str">
        <x:v>Capacity test, M3</x:v>
      </x:c>
      <x:c r="L44" s="10" t="str">
        <x:v>No account persistence or storage-limit record. Current performance run is tiny and write-only.</x:v>
      </x:c>
      <x:c r="M44" s="10" t="str">
        <x:v>None</x:v>
      </x:c>
      <x:c r="N44" s="10" t="str">
        <x:v>Seed 500 actual synthetic accounts and 5000 requests, measure selected service storage vs free tier; rerun NFR-001 load with required filtered result cardinality and dataset context. Record storage/index overhead and capacity failures.</x:v>
      </x:c>
      <x:c r="O44" s="10" t="str">
        <x:v>GAP</x:v>
      </x:c>
      <x:c r="P44" s="10" t="str">
        <x:v>Not accepted; full criterion evidence incomplete</x:v>
      </x:c>
      <x:c r="Q44" s="10" t="str">
        <x:v>Don</x:v>
      </x:c>
      <x:c r="R44" s="10" t="str">
        <x:v>NV-13</x:v>
      </x:c>
      <x:c r="S44" s="10" t="str">
        <x:v>DEC-008 Deferred; ADR-013 Proposed. No approved detailed design located.</x:v>
      </x:c>
      <x:c r="T44" s="10" t="str">
        <x:v>GAP — not implemented/tested</x:v>
      </x:c>
      <x:c r="U44" s="10" t="str">
        <x:v>https://github.com/Don-Sanvura/Civic-connect/blob/f874f5cba35cb326c7a3aabeaa0e183f4eedb4b4/docs/requirements/non-functional-requirements.csv</x:v>
      </x:c>
      <x:c r="V44" s="10" t="str">
        <x:v>f874f5cba35cb326c7a3aabeaa0e183f4eedb4b4</x:v>
      </x:c>
    </x:row>
    <x:row r="45" ht="84" customHeight="1">
      <x:c r="A45" s="9" t="str">
        <x:v>NFR-014</x:v>
      </x:c>
      <x:c r="B45" s="9" t="str">
        <x:v>TR-040</x:v>
      </x:c>
      <x:c r="C45" s="9" t="str">
        <x:v>Input validation</x:v>
      </x:c>
      <x:c r="D45" s="9" t="str">
        <x:v>100% of user-supplied input shall be validated server-side; rejected input shall return a field-level message without discarding the data already entered.</x:v>
      </x:c>
      <x:c r="E45" s="9" t="str">
        <x:v>AC-N014</x:v>
      </x:c>
      <x:c r="F45" s="9" t="str">
        <x:v>For each input field, a boundary and an invalid-type case are submitted with client-side validation bypassed; every case is rejected server-side with a field-level message and the retained form values are redisplayed.</x:v>
      </x:c>
      <x:c r="G45" s="9" t="str">
        <x:v>Must</x:v>
      </x:c>
      <x:c r="H45" s="9" t="str">
        <x:v>CN-05 / Master Brief 16</x:v>
      </x:c>
      <x:c r="I45" s="9" t="str">
        <x:v>Input must not be trusted from the client</x:v>
      </x:c>
      <x:c r="J45" s="9" t="str">
        <x:v>Cross-cutting NFR; no explicit scope-row mapping in baseline CSV</x:v>
      </x:c>
      <x:c r="K45" s="9" t="str">
        <x:v>Automated boundary and negative test, M3</x:v>
      </x:c>
      <x:c r="L45" s="9" t="str">
        <x:v>Request fields checked server-side; notes/reasons/unknown keys/types/body variants incompletely constrained; general form error.</x:v>
      </x:c>
      <x:c r="M45" s="9" t="str">
        <x:v>TST-002..007,021; QA-P01</x:v>
      </x:c>
      <x:c r="N45" s="9" t="str">
        <x:v>For each field across every operation, send boundary and invalid type with client validation bypassed; field-level error and retained form values. Test title 2/3/120/121, desc9/10/2000/2001, location0/1/300/301 and category59/60/61 where relevant.</x:v>
      </x:c>
      <x:c r="O45" s="9" t="str">
        <x:v>PARTIAL</x:v>
      </x:c>
      <x:c r="P45" s="9" t="str">
        <x:v>Not accepted; full criterion evidence incomplete</x:v>
      </x:c>
      <x:c r="Q45" s="9" t="str">
        <x:v>Masego with Emile</x:v>
      </x:c>
      <x:c r="R45" s="9" t="str">
        <x:v>NV-14</x:v>
      </x:c>
      <x:c r="S45" s="9" t="str">
        <x:v>DEC-008 Deferred; ADR-013 Proposed. No approved detailed design located.</x:v>
      </x:c>
      <x:c r="T45" s="9" t="str">
        <x:v>PARTIAL — verify exact baseline acceptance criteria</x:v>
      </x:c>
      <x:c r="U45" s="9" t="str">
        <x:v>https://github.com/Don-Sanvura/Civic-connect/blob/f874f5cba35cb326c7a3aabeaa0e183f4eedb4b4/docs/requirements/non-functional-requirements.csv</x:v>
      </x:c>
      <x:c r="V45" s="9" t="str">
        <x:v>f874f5cba35cb326c7a3aabeaa0e183f4eedb4b4</x:v>
      </x:c>
    </x:row>
  </x:sheetData>
  <x:conditionalFormatting sqref="O6:O45">
    <x:cfRule type="containsText" dxfId="0" priority="1" operator="containsText" text="FAILED"/>
    <x:cfRule type="containsText" dxfId="1" priority="2" operator="containsText" text="GAP"/>
  </x:conditionalFormatting>
  <x:pageMargins left="0.7" right="0.7" top="0.75" bottom="0.75" header="0.3" footer="0.3"/>
  <x:tableParts count="1">
    <x:tablePart xmlns:r="http://schemas.openxmlformats.org/officeDocument/2006/relationships" r:id="R72246344556d4c0d"/>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68" hidden="0" customWidth="1"/>
    <x:col min="7" max="7" width="55" hidden="0" customWidth="1"/>
    <x:col min="8" max="8" width="55" hidden="0" customWidth="1"/>
    <x:col min="9" max="9" width="16" hidden="0" customWidth="1"/>
    <x:col min="10" max="10" width="32" hidden="0" customWidth="1"/>
    <x:col min="11" max="11" width="55" hidden="0" customWidth="1"/>
    <x:col min="12" max="12" width="55" hidden="0" customWidth="1"/>
    <x:col min="13" max="13" width="32" hidden="0" customWidth="1"/>
    <x:col min="14" max="14" width="32" hidden="0" customWidth="1"/>
    <x:col min="15" max="15" width="55" hidden="0" customWidth="1"/>
    <x:col min="16" max="16" width="55" hidden="0" customWidth="1"/>
    <x:col min="17" max="17" width="48" hidden="0" customWidth="1"/>
  </x:cols>
  <x:sheetData>
    <x:row r="2">
      <x:c r="A2" s="1" t="str">
        <x:v>RTM corrections</x:v>
      </x:c>
    </x:row>
    <x:row r="3">
      <x:c r="A3" t="str">
        <x:v>Reviewed main f874f5cba35cb326c7a3aabeaa0e183f4eedb4b4 | 17 October 2026 SAST | Recommendations; no repository edits or human signoff</x:v>
      </x:c>
    </x:row>
    <x:row r="4">
      <x:c r="A4" s="16" t="str">
        <x:v>Source: CivicConnect-QA-Review.html; pinned source locator and captured evidence folder</x:v>
      </x:c>
    </x:row>
    <x:row r="5" ht="36" customHeight="1">
      <x:c r="A5" s="8" t="str">
        <x:v>TR ID</x:v>
      </x:c>
      <x:c r="B5" s="8" t="str">
        <x:v>Requirement ID</x:v>
      </x:c>
      <x:c r="C5" s="8" t="str">
        <x:v>Existing AC cell</x:v>
      </x:c>
      <x:c r="D5" s="8" t="str">
        <x:v>Correct AC ID</x:v>
      </x:c>
      <x:c r="E5" s="8" t="str">
        <x:v>Separate priority</x:v>
      </x:c>
      <x:c r="F5" s="8" t="str">
        <x:v>Exact criterion</x:v>
      </x:c>
      <x:c r="G5" s="8" t="str">
        <x:v>Mapping check</x:v>
      </x:c>
      <x:c r="H5" s="8" t="str">
        <x:v>Existing test references</x:v>
      </x:c>
      <x:c r="I5" s="8" t="str">
        <x:v>Existing IDs resolve</x:v>
      </x:c>
      <x:c r="J5" s="8" t="str">
        <x:v>Recommended evidence references</x:v>
      </x:c>
      <x:c r="K5" s="8" t="str">
        <x:v>Existing implementation claim</x:v>
      </x:c>
      <x:c r="L5" s="8" t="str">
        <x:v>Corrected implementation assessment</x:v>
      </x:c>
      <x:c r="M5" s="8" t="str">
        <x:v>Recommended disposition</x:v>
      </x:c>
      <x:c r="N5" s="8" t="str">
        <x:v>Execution evidence</x:v>
      </x:c>
      <x:c r="O5" s="8" t="str">
        <x:v>Design gap</x:v>
      </x:c>
      <x:c r="P5" s="8" t="str">
        <x:v>Release decision</x:v>
      </x:c>
      <x:c r="Q5" s="8" t="str">
        <x:v>Reviewed SHA</x:v>
      </x:c>
    </x:row>
    <x:row r="6" ht="84" customHeight="1">
      <x:c r="A6" s="10" t="str">
        <x:v>TR-026</x:v>
      </x:c>
      <x:c r="B6" s="10" t="str">
        <x:v>FR-001</x:v>
      </x:c>
      <x:c r="C6" s="10" t="str">
        <x:v>Must</x:v>
      </x:c>
      <x:c r="D6" s="10" t="str">
        <x:v>AC-001</x:v>
      </x:c>
      <x:c r="E6" s="10" t="str">
        <x:v>Must</x:v>
      </x:c>
      <x:c r="F6" s="10" t="str">
        <x:v>Given an Administrator on the user administration screen, when a valid email and role are submitted, then an active account exists with that role and no other role, and the creation is written to the audit trail.</x:v>
      </x:c>
      <x:c r="G6" s="10" t="str">
        <x:v>TR/requirement correct; requirement and AC text exact</x:v>
      </x:c>
      <x:c r="H6" s="10" t="str">
        <x:v>NOT COVERED BY CURRENT TEST SUITE</x:v>
      </x:c>
      <x:c r="I6" s="15" t="b">
        <x:v>1</x:v>
      </x:c>
      <x:c r="J6" s="10" t="str">
        <x:v>None</x:v>
      </x:c>
      <x:c r="K6" s="10" t="str">
        <x:v>NOT IMPLEMENTED IN CURRENT VERTICAL SLICE; requires implementation and verification</x:v>
      </x:c>
      <x:c r="L6" s="10" t="str">
        <x:v>parseTokens supplies static token-role pairs only. No accounts, email, provisioning or creation audit.</x:v>
      </x:c>
      <x:c r="M6" s="10" t="str">
        <x:v>GAP</x:v>
      </x:c>
      <x:c r="N6" s="10" t="str">
        <x:v>https://github.com/Don-Sanvura/Civic-connect/actions/runs/38238109916; local suite and QA probes; only linked assertions proven</x:v>
      </x:c>
      <x:c r="O6" s="10" t="str">
        <x:v>DEC-008 Deferred; ADR-013 Proposed. No approved detailed design located.</x:v>
      </x:c>
      <x:c r="P6" s="10" t="str">
        <x:v>NOT READY recommendation; no sign-off</x:v>
      </x:c>
      <x:c r="Q6" s="10" t="str">
        <x:v>f874f5cba35cb326c7a3aabeaa0e183f4eedb4b4</x:v>
      </x:c>
    </x:row>
    <x:row r="7" ht="84" customHeight="1">
      <x:c r="A7" s="9" t="str">
        <x:v>TR-027</x:v>
      </x:c>
      <x:c r="B7" s="9" t="str">
        <x:v>FR-002</x:v>
      </x:c>
      <x:c r="C7" s="9" t="str">
        <x:v>Must</x:v>
      </x:c>
      <x:c r="D7" s="9" t="str">
        <x:v>AC-002</x:v>
      </x:c>
      <x:c r="E7" s="9" t="str">
        <x:v>Must</x:v>
      </x:c>
      <x:c r="F7" s="9" t="str">
        <x:v>Given an unauthenticated visitor, when any application URL other than sign-in or password reset is requested, then access is refused and the visitor is redirected to sign-in with no request data disclosed.</x:v>
      </x:c>
      <x:c r="G7" s="9" t="str">
        <x:v>TR/requirement correct; requirement and AC text exact</x:v>
      </x:c>
      <x:c r="H7" s="9" t="str">
        <x:v>NOT COVERED BY CURRENT TEST SUITE</x:v>
      </x:c>
      <x:c r="I7" s="14" t="b">
        <x:v>1</x:v>
      </x:c>
      <x:c r="J7" s="9" t="str">
        <x:v>TST-020; QA-P08</x:v>
      </x:c>
      <x:c r="K7" s="9" t="str">
        <x:v>NOT IMPLEMENTED IN CURRENT VERTICAL SLICE; requires implementation and verification</x:v>
      </x:c>
      <x:c r="L7" s="9" t="str">
        <x:v>authenticate validates Bearer tokens. Root and client script are public; there is no email/password sign-in or redirect.</x:v>
      </x:c>
      <x:c r="M7" s="9" t="str">
        <x:v>FAILED</x:v>
      </x:c>
      <x:c r="N7" s="9" t="str">
        <x:v>https://github.com/Don-Sanvura/Civic-connect/actions/runs/38238109916; local suite and QA probes; only linked assertions proven</x:v>
      </x:c>
      <x:c r="O7" s="9" t="str">
        <x:v>DEC-008 Deferred; ADR-013 Proposed. No approved detailed design located.</x:v>
      </x:c>
      <x:c r="P7" s="9" t="str">
        <x:v>NOT READY recommendation; no sign-off</x:v>
      </x:c>
      <x:c r="Q7" s="9" t="str">
        <x:v>f874f5cba35cb326c7a3aabeaa0e183f4eedb4b4</x:v>
      </x:c>
    </x:row>
    <x:row r="8" ht="84" customHeight="1">
      <x:c r="A8" s="10" t="str">
        <x:v>TR-016</x:v>
      </x:c>
      <x:c r="B8" s="10" t="str">
        <x:v>FR-003</x:v>
      </x:c>
      <x:c r="C8" s="10" t="str">
        <x:v>Must</x:v>
      </x:c>
      <x:c r="D8" s="10" t="str">
        <x:v>AC-003</x:v>
      </x:c>
      <x:c r="E8" s="10" t="str">
        <x:v>Must</x:v>
      </x:c>
      <x:c r="F8" s="10" t="str">
        <x:v>Given an authenticated user in role R, when an operation not authorised for R is attempted, then the operation is refused with an authorisation error and no state change occurs.</x:v>
      </x:c>
      <x:c r="G8" s="10" t="str">
        <x:v>TR/requirement correct; requirement and AC text exact</x:v>
      </x:c>
      <x:c r="H8" s="10" t="str">
        <x:v>NOT COVERED BY CURRENT TEST SUITE</x:v>
      </x:c>
      <x:c r="I8" s="15" t="b">
        <x:v>1</x:v>
      </x:c>
      <x:c r="J8" s="10" t="str">
        <x:v>TST-008,011,015,018,023,025; QA-P07</x:v>
      </x:c>
      <x:c r="K8" s="10" t="str">
        <x:v>NOT IMPLEMENTED IN CURRENT VERTICAL SLICE; requires implementation and verification</x:v>
      </x:c>
      <x:c r="L8" s="10" t="str">
        <x:v>guard and record ownership checks cover a subset of operations; admin can assign and close without an approved permission table.</x:v>
      </x:c>
      <x:c r="M8" s="10" t="str">
        <x:v>FAILED</x:v>
      </x:c>
      <x:c r="N8" s="10" t="str">
        <x:v>https://github.com/Don-Sanvura/Civic-connect/actions/runs/38238109916; local suite and QA probes; only linked assertions proven</x:v>
      </x:c>
      <x:c r="O8" s="10" t="str">
        <x:v>DEC-008 Deferred; ADR-013 Proposed. No approved detailed design located.</x:v>
      </x:c>
      <x:c r="P8" s="10" t="str">
        <x:v>NOT READY recommendation; no sign-off</x:v>
      </x:c>
      <x:c r="Q8" s="10" t="str">
        <x:v>f874f5cba35cb326c7a3aabeaa0e183f4eedb4b4</x:v>
      </x:c>
    </x:row>
    <x:row r="9" ht="84" customHeight="1">
      <x:c r="A9" s="9" t="str">
        <x:v>TR-028</x:v>
      </x:c>
      <x:c r="B9" s="9" t="str">
        <x:v>FR-004</x:v>
      </x:c>
      <x:c r="C9" s="9" t="str">
        <x:v>Should</x:v>
      </x:c>
      <x:c r="D9" s="9" t="str">
        <x:v>AC-004</x:v>
      </x:c>
      <x:c r="E9" s="9" t="str">
        <x:v>Should</x:v>
      </x:c>
      <x:c r="F9" s="9" t="str">
        <x:v>Given a registered user requesting a reset, when the emailed link is used within its validity period, then a new password may be set; when the same link is reused or used after expiry, then it is refused.</x:v>
      </x:c>
      <x:c r="G9" s="9" t="str">
        <x:v>TR/requirement correct; requirement and AC text exact</x:v>
      </x:c>
      <x:c r="H9" s="9" t="str">
        <x:v>NOT COVERED BY CURRENT TEST SUITE</x:v>
      </x:c>
      <x:c r="I9" s="14" t="b">
        <x:v>1</x:v>
      </x:c>
      <x:c r="J9" s="9" t="str">
        <x:v>None</x:v>
      </x:c>
      <x:c r="K9" s="9" t="str">
        <x:v>NOT IMPLEMENTED IN CURRENT VERTICAL SLICE; requires implementation and verification</x:v>
      </x:c>
      <x:c r="L9" s="9" t="str">
        <x:v>No reset endpoint, email delivery, reset token, expiry or replay control.</x:v>
      </x:c>
      <x:c r="M9" s="9" t="str">
        <x:v>GAP</x:v>
      </x:c>
      <x:c r="N9" s="9" t="str">
        <x:v>https://github.com/Don-Sanvura/Civic-connect/actions/runs/38238109916; local suite and QA probes; only linked assertions proven</x:v>
      </x:c>
      <x:c r="O9" s="9" t="str">
        <x:v>DEC-008 Deferred; ADR-013 Proposed. No approved detailed design located.</x:v>
      </x:c>
      <x:c r="P9" s="9" t="str">
        <x:v>NOT READY recommendation; no sign-off</x:v>
      </x:c>
      <x:c r="Q9" s="9" t="str">
        <x:v>f874f5cba35cb326c7a3aabeaa0e183f4eedb4b4</x:v>
      </x:c>
    </x:row>
    <x:row r="10" ht="84" customHeight="1">
      <x:c r="A10" s="10" t="str">
        <x:v>TR-001</x:v>
      </x:c>
      <x:c r="B10" s="10" t="str">
        <x:v>FR-005</x:v>
      </x:c>
      <x:c r="C10" s="10" t="str">
        <x:v>Must</x:v>
      </x:c>
      <x:c r="D10" s="10" t="str">
        <x:v>AC-005</x:v>
      </x:c>
      <x:c r="E10" s="10" t="str">
        <x:v>Must</x:v>
      </x:c>
      <x:c r="F10" s="10" t="str">
        <x:v>Given an authenticated Requester with all four mandatory fields completed, when the request is submitted, then a request is stored with a unique reference, status New, the submitter recorded and a submission timestamp; and the reference is displayed to the Requester.</x:v>
      </x:c>
      <x:c r="G10" s="10" t="str">
        <x:v>TR/requirement correct; requirement and AC text exact</x:v>
      </x:c>
      <x:c r="H10" s="10" t="str">
        <x:v>TST-001; TST-006; TST-020; TST-022</x:v>
      </x:c>
      <x:c r="I10" s="15" t="b">
        <x:v>1</x:v>
      </x:c>
      <x:c r="J10" s="10" t="str">
        <x:v>TST-001,006,020,022,028; QA-P10</x:v>
      </x:c>
      <x:c r="K10" s="10" t="str">
        <x:v>src/app.js createRequest; POST /api/requests</x:v>
      </x:c>
      <x:c r="L10" s="10" t="str">
        <x:v>createRequest validates four fields, generates UUID, records requester/time/New and returns clone. Browser displays reference. Map storage is volatile.</x:v>
      </x:c>
      <x:c r="M10" s="10" t="str">
        <x:v>PARTIAL</x:v>
      </x:c>
      <x:c r="N10" s="10" t="str">
        <x:v>https://github.com/Don-Sanvura/Civic-connect/actions/runs/38238109916; local suite and QA probes; only linked assertions proven</x:v>
      </x:c>
      <x:c r="O10" s="10" t="str">
        <x:v>DEC-008 Deferred; ADR-013 Proposed. No approved detailed design located.</x:v>
      </x:c>
      <x:c r="P10" s="10" t="str">
        <x:v>NOT READY recommendation; no sign-off</x:v>
      </x:c>
      <x:c r="Q10" s="10" t="str">
        <x:v>f874f5cba35cb326c7a3aabeaa0e183f4eedb4b4</x:v>
      </x:c>
    </x:row>
    <x:row r="11" ht="84" customHeight="1">
      <x:c r="A11" s="9" t="str">
        <x:v>TR-013</x:v>
      </x:c>
      <x:c r="B11" s="9" t="str">
        <x:v>FR-006</x:v>
      </x:c>
      <x:c r="C11" s="9" t="str">
        <x:v>Must</x:v>
      </x:c>
      <x:c r="D11" s="9" t="str">
        <x:v>AC-006</x:v>
      </x:c>
      <x:c r="E11" s="9" t="str">
        <x:v>Must</x:v>
      </x:c>
      <x:c r="F11" s="9" t="str">
        <x:v>Given the submission form, when no category is selected, then submission is refused with a field-level message; and the category selector offers only values from the active controlled list.</x:v>
      </x:c>
      <x:c r="G11" s="9" t="str">
        <x:v>TR/requirement correct; requirement and AC text exact</x:v>
      </x:c>
      <x:c r="H11" s="9" t="str">
        <x:v>TST-007</x:v>
      </x:c>
      <x:c r="I11" s="14" t="b">
        <x:v>1</x:v>
      </x:c>
      <x:c r="J11" s="9" t="str">
        <x:v>TST-007,024</x:v>
      </x:c>
      <x:c r="K11" s="9" t="str">
        <x:v>src/app.js categoryMap; GET /api/categories</x:v>
      </x:c>
      <x:c r="L11" s="9" t="str">
        <x:v>Active controlled categoryMap, server rejection and browser select exist. Errors appear in general form message.</x:v>
      </x:c>
      <x:c r="M11" s="9" t="str">
        <x:v>PARTIAL</x:v>
      </x:c>
      <x:c r="N11" s="9" t="str">
        <x:v>https://github.com/Don-Sanvura/Civic-connect/actions/runs/38238109916; local suite and QA probes; only linked assertions proven</x:v>
      </x:c>
      <x:c r="O11" s="9" t="str">
        <x:v>DEC-008 Deferred; ADR-013 Proposed. No approved detailed design located.</x:v>
      </x:c>
      <x:c r="P11" s="9" t="str">
        <x:v>NOT READY recommendation; no sign-off</x:v>
      </x:c>
      <x:c r="Q11" s="9" t="str">
        <x:v>f874f5cba35cb326c7a3aabeaa0e183f4eedb4b4</x:v>
      </x:c>
    </x:row>
    <x:row r="12" ht="84" customHeight="1">
      <x:c r="A12" s="10" t="str">
        <x:v>TR-002</x:v>
      </x:c>
      <x:c r="B12" s="10" t="str">
        <x:v>FR-007</x:v>
      </x:c>
      <x:c r="C12" s="10" t="str">
        <x:v>Must</x:v>
      </x:c>
      <x:c r="D12" s="10" t="str">
        <x:v>AC-007</x:v>
      </x:c>
      <x:c r="E12" s="10" t="str">
        <x:v>Must</x:v>
      </x:c>
      <x:c r="F12" s="10" t="str">
        <x:v>Given a Requester with at least one submitted request, when the request is opened, then the current status, the date of the last status change and any resolution note are displayed.</x:v>
      </x:c>
      <x:c r="G12" s="10" t="str">
        <x:v>TR/requirement correct; requirement and AC text exact</x:v>
      </x:c>
      <x:c r="H12" s="10" t="str">
        <x:v>NOT COVERED BY CURRENT TEST SUITE</x:v>
      </x:c>
      <x:c r="I12" s="15" t="b">
        <x:v>1</x:v>
      </x:c>
      <x:c r="J12" s="10" t="str">
        <x:v>TST-028 indirectly; no exact AC case</x:v>
      </x:c>
      <x:c r="K12" s="10" t="str">
        <x:v>NOT IMPLEMENTED IN CURRENT VERTICAL SLICE; requires implementation and verification</x:v>
      </x:c>
      <x:c r="L12" s="10" t="str">
        <x:v>getRequest returns status, updatedAt, resolutionNote and history. List cards show status only; no detail action. updatedAt changes on assignment too.</x:v>
      </x:c>
      <x:c r="M12" s="10" t="str">
        <x:v>PARTIAL</x:v>
      </x:c>
      <x:c r="N12" s="10" t="str">
        <x:v>https://github.com/Don-Sanvura/Civic-connect/actions/runs/38238109916; local suite and QA probes; only linked assertions proven</x:v>
      </x:c>
      <x:c r="O12" s="10" t="str">
        <x:v>DEC-008 Deferred; ADR-013 Proposed. No approved detailed design located.</x:v>
      </x:c>
      <x:c r="P12" s="10" t="str">
        <x:v>NOT READY recommendation; no sign-off</x:v>
      </x:c>
      <x:c r="Q12" s="10" t="str">
        <x:v>f874f5cba35cb326c7a3aabeaa0e183f4eedb4b4</x:v>
      </x:c>
    </x:row>
    <x:row r="13" ht="84" customHeight="1">
      <x:c r="A13" s="9" t="str">
        <x:v>TR-003</x:v>
      </x:c>
      <x:c r="B13" s="9" t="str">
        <x:v>FR-008</x:v>
      </x:c>
      <x:c r="C13" s="9" t="str">
        <x:v>Must</x:v>
      </x:c>
      <x:c r="D13" s="9" t="str">
        <x:v>AC-008</x:v>
      </x:c>
      <x:c r="E13" s="9" t="str">
        <x:v>Must</x:v>
      </x:c>
      <x:c r="F13" s="9" t="str">
        <x:v>Given a Requester with n submitted requests, when the request list is opened, then exactly those n requests are listed with reference, category, submission date and status, and no request belonging to another user appears.</x:v>
      </x:c>
      <x:c r="G13" s="9" t="str">
        <x:v>TR/requirement correct; requirement and AC text exact</x:v>
      </x:c>
      <x:c r="H13" s="9" t="str">
        <x:v>TST-018</x:v>
      </x:c>
      <x:c r="I13" s="14" t="b">
        <x:v>1</x:v>
      </x:c>
      <x:c r="J13" s="9" t="str">
        <x:v>TST-018; TST-028</x:v>
      </x:c>
      <x:c r="K13" s="9" t="str">
        <x:v>Partial: requester-filtered GET /api/requests; UI history not implemented</x:v>
      </x:c>
      <x:c r="L13" s="9" t="str">
        <x:v>listRequests filters owner and sorts descending createdAt. Browser cards omit submission date.</x:v>
      </x:c>
      <x:c r="M13" s="9" t="str">
        <x:v>PARTIAL</x:v>
      </x:c>
      <x:c r="N13" s="9" t="str">
        <x:v>https://github.com/Don-Sanvura/Civic-connect/actions/runs/38238109916; local suite and QA probes; only linked assertions proven</x:v>
      </x:c>
      <x:c r="O13" s="9" t="str">
        <x:v>DEC-008 Deferred; ADR-013 Proposed. No approved detailed design located.</x:v>
      </x:c>
      <x:c r="P13" s="9" t="str">
        <x:v>NOT READY recommendation; no sign-off</x:v>
      </x:c>
      <x:c r="Q13" s="9" t="str">
        <x:v>f874f5cba35cb326c7a3aabeaa0e183f4eedb4b4</x:v>
      </x:c>
    </x:row>
    <x:row r="14" ht="84" customHeight="1">
      <x:c r="A14" s="10" t="str">
        <x:v>TR-004</x:v>
      </x:c>
      <x:c r="B14" s="10" t="str">
        <x:v>FR-009</x:v>
      </x:c>
      <x:c r="C14" s="10" t="str">
        <x:v>Must</x:v>
      </x:c>
      <x:c r="D14" s="10" t="str">
        <x:v>AC-009</x:v>
      </x:c>
      <x:c r="E14" s="10" t="str">
        <x:v>Must</x:v>
      </x:c>
      <x:c r="F14" s="10" t="str">
        <x:v>Given a request owned by Requester X, when its status changes to Accepted, Rejected or Resolved, then an in-app notification and an email are generated to X within 5 minutes, containing the reference, the new status and any reason.</x:v>
      </x:c>
      <x:c r="G14" s="10" t="str">
        <x:v>TR/requirement correct; requirement and AC text exact</x:v>
      </x:c>
      <x:c r="H14" s="10" t="str">
        <x:v>NOT COVERED BY CURRENT TEST SUITE</x:v>
      </x:c>
      <x:c r="I14" s="15" t="b">
        <x:v>1</x:v>
      </x:c>
      <x:c r="J14" s="10" t="str">
        <x:v>None</x:v>
      </x:c>
      <x:c r="K14" s="10" t="str">
        <x:v>NOT IMPLEMENTED IN CURRENT VERTICAL SLICE; requires implementation and verification</x:v>
      </x:c>
      <x:c r="L14" s="10" t="str">
        <x:v>No notification store, dispatcher, in-app view or email integration.</x:v>
      </x:c>
      <x:c r="M14" s="10" t="str">
        <x:v>GAP</x:v>
      </x:c>
      <x:c r="N14" s="10" t="str">
        <x:v>https://github.com/Don-Sanvura/Civic-connect/actions/runs/38238109916; local suite and QA probes; only linked assertions proven</x:v>
      </x:c>
      <x:c r="O14" s="10" t="str">
        <x:v>DEC-008 Deferred; ADR-013 Proposed. No approved detailed design located.</x:v>
      </x:c>
      <x:c r="P14" s="10" t="str">
        <x:v>NOT READY recommendation; no sign-off</x:v>
      </x:c>
      <x:c r="Q14" s="10" t="str">
        <x:v>f874f5cba35cb326c7a3aabeaa0e183f4eedb4b4</x:v>
      </x:c>
    </x:row>
    <x:row r="15" ht="84" customHeight="1">
      <x:c r="A15" s="9" t="str">
        <x:v>TR-023</x:v>
      </x:c>
      <x:c r="B15" s="9" t="str">
        <x:v>FR-010</x:v>
      </x:c>
      <x:c r="C15" s="9" t="str">
        <x:v>Should</x:v>
      </x:c>
      <x:c r="D15" s="9" t="str">
        <x:v>AC-010</x:v>
      </x:c>
      <x:c r="E15" s="9" t="str">
        <x:v>Should</x:v>
      </x:c>
      <x:c r="F15" s="9" t="str">
        <x:v>Given a request with an assigned staff member, when either party adds a comment, then the comment is stored against the request with author and timestamp and is visible to both, and no email address or telephone number of the other party is displayed.</x:v>
      </x:c>
      <x:c r="G15" s="9" t="str">
        <x:v>TR/requirement correct; requirement and AC text exact</x:v>
      </x:c>
      <x:c r="H15" s="9" t="str">
        <x:v>NOT COVERED BY CURRENT TEST SUITE</x:v>
      </x:c>
      <x:c r="I15" s="14" t="b">
        <x:v>1</x:v>
      </x:c>
      <x:c r="J15" s="9" t="str">
        <x:v>None</x:v>
      </x:c>
      <x:c r="K15" s="9" t="str">
        <x:v>NOT IMPLEMENTED IN CURRENT VERTICAL SLICE; requires implementation and verification</x:v>
      </x:c>
      <x:c r="L15" s="9" t="str">
        <x:v>No comments model, route or interface.</x:v>
      </x:c>
      <x:c r="M15" s="9" t="str">
        <x:v>GAP</x:v>
      </x:c>
      <x:c r="N15" s="9" t="str">
        <x:v>https://github.com/Don-Sanvura/Civic-connect/actions/runs/38238109916; local suite and QA probes; only linked assertions proven</x:v>
      </x:c>
      <x:c r="O15" s="9" t="str">
        <x:v>DEC-008 Deferred; ADR-013 Proposed. No approved detailed design located.</x:v>
      </x:c>
      <x:c r="P15" s="9" t="str">
        <x:v>NOT READY recommendation; no sign-off</x:v>
      </x:c>
      <x:c r="Q15" s="9" t="str">
        <x:v>f874f5cba35cb326c7a3aabeaa0e183f4eedb4b4</x:v>
      </x:c>
    </x:row>
    <x:row r="16" ht="84" customHeight="1">
      <x:c r="A16" s="10" t="str">
        <x:v>TR-009</x:v>
      </x:c>
      <x:c r="B16" s="10" t="str">
        <x:v>FR-011</x:v>
      </x:c>
      <x:c r="C16" s="10" t="str">
        <x:v>Must</x:v>
      </x:c>
      <x:c r="D16" s="10" t="str">
        <x:v>AC-011</x:v>
      </x:c>
      <x:c r="E16" s="10" t="str">
        <x:v>Must</x:v>
      </x:c>
      <x:c r="F16" s="10" t="str">
        <x:v>Given a Staff user, when the queue is opened, then unassigned requests and requests assigned to that user are listed, and requests assigned to another staff member are not shown by default.</x:v>
      </x:c>
      <x:c r="G16" s="10" t="str">
        <x:v>TR/requirement correct; requirement and AC text exact</x:v>
      </x:c>
      <x:c r="H16" s="10" t="str">
        <x:v>NOT COVERED BY CURRENT TEST SUITE</x:v>
      </x:c>
      <x:c r="I16" s="15" t="b">
        <x:v>1</x:v>
      </x:c>
      <x:c r="J16" s="10" t="str">
        <x:v>No dedicated membership assertion; QA-P07 is security failure</x:v>
      </x:c>
      <x:c r="K16" s="10" t="str">
        <x:v>NOT IMPLEMENTED IN CURRENT VERTICAL SLICE; requires implementation and verification</x:v>
      </x:c>
      <x:c r="L16" s="10" t="str">
        <x:v>listRequests selects unassigned plus actor-assigned records for Staff; browser role selector loads same list.</x:v>
      </x:c>
      <x:c r="M16" s="10" t="str">
        <x:v>IMPLEMENTED / UNVERIFIED</x:v>
      </x:c>
      <x:c r="N16" s="10" t="str">
        <x:v>https://github.com/Don-Sanvura/Civic-connect/actions/runs/38238109916; local suite and QA probes; only linked assertions proven</x:v>
      </x:c>
      <x:c r="O16" s="10" t="str">
        <x:v>DEC-008 Deferred; ADR-013 Proposed. No approved detailed design located.</x:v>
      </x:c>
      <x:c r="P16" s="10" t="str">
        <x:v>NOT READY recommendation; no sign-off</x:v>
      </x:c>
      <x:c r="Q16" s="10" t="str">
        <x:v>f874f5cba35cb326c7a3aabeaa0e183f4eedb4b4</x:v>
      </x:c>
    </x:row>
    <x:row r="17" ht="84" customHeight="1">
      <x:c r="A17" s="9" t="str">
        <x:v>TR-010</x:v>
      </x:c>
      <x:c r="B17" s="9" t="str">
        <x:v>FR-012</x:v>
      </x:c>
      <x:c r="C17" s="9" t="str">
        <x:v>Must</x:v>
      </x:c>
      <x:c r="D17" s="9" t="str">
        <x:v>AC-012</x:v>
      </x:c>
      <x:c r="E17" s="9" t="str">
        <x:v>Must</x:v>
      </x:c>
      <x:c r="F17" s="9" t="str">
        <x:v>Given a list of requests, when a filter or sort is applied, then only matching requests are returned in the requested order, and combining two filters returns the intersection.</x:v>
      </x:c>
      <x:c r="G17" s="9" t="str">
        <x:v>TR/requirement correct; requirement and AC text exact</x:v>
      </x:c>
      <x:c r="H17" s="9" t="str">
        <x:v>NOT COVERED BY CURRENT TEST SUITE</x:v>
      </x:c>
      <x:c r="I17" s="14" t="b">
        <x:v>1</x:v>
      </x:c>
      <x:c r="J17" s="9" t="str">
        <x:v>QA-P06; no baseline automated coverage</x:v>
      </x:c>
      <x:c r="K17" s="9" t="str">
        <x:v>NOT IMPLEMENTED IN CURRENT VERTICAL SLICE; requires implementation and verification</x:v>
      </x:c>
      <x:c r="L17" s="9" t="str">
        <x:v>listRequests has no query argument. HTTP handler discards URL search parameters. Only default newest-first sort exists.</x:v>
      </x:c>
      <x:c r="M17" s="9" t="str">
        <x:v>FAILED</x:v>
      </x:c>
      <x:c r="N17" s="9" t="str">
        <x:v>https://github.com/Don-Sanvura/Civic-connect/actions/runs/38238109916; local suite and QA probes; only linked assertions proven</x:v>
      </x:c>
      <x:c r="O17" s="9" t="str">
        <x:v>DEC-008 Deferred; ADR-013 Proposed. No approved detailed design located.</x:v>
      </x:c>
      <x:c r="P17" s="9" t="str">
        <x:v>NOT READY recommendation; no sign-off</x:v>
      </x:c>
      <x:c r="Q17" s="9" t="str">
        <x:v>f874f5cba35cb326c7a3aabeaa0e183f4eedb4b4</x:v>
      </x:c>
    </x:row>
    <x:row r="18" ht="84" customHeight="1">
      <x:c r="A18" s="10" t="str">
        <x:v>TR-029</x:v>
      </x:c>
      <x:c r="B18" s="10" t="str">
        <x:v>FR-013</x:v>
      </x:c>
      <x:c r="C18" s="10" t="str">
        <x:v>Must</x:v>
      </x:c>
      <x:c r="D18" s="10" t="str">
        <x:v>AC-013</x:v>
      </x:c>
      <x:c r="E18" s="10" t="str">
        <x:v>Must</x:v>
      </x:c>
      <x:c r="F18" s="10" t="str">
        <x:v>Given an authorised user opening a request, when the detail view is displayed, then submitted information, current status, assignee, all comments and the complete ordered change history are shown.</x:v>
      </x:c>
      <x:c r="G18" s="10" t="str">
        <x:v>TR/requirement correct; requirement and AC text exact</x:v>
      </x:c>
      <x:c r="H18" s="10" t="str">
        <x:v>NOT COVERED BY CURRENT TEST SUITE</x:v>
      </x:c>
      <x:c r="I18" s="15" t="b">
        <x:v>1</x:v>
      </x:c>
      <x:c r="J18" s="10" t="str">
        <x:v>TST-018 negative only; TST-022 audit endpoint</x:v>
      </x:c>
      <x:c r="K18" s="10" t="str">
        <x:v>NOT IMPLEMENTED IN CURRENT VERTICAL SLICE; requires implementation and verification</x:v>
      </x:c>
      <x:c r="L18" s="10" t="str">
        <x:v>getRequest returns submitted fields, assignee and ordered in-memory history. No comments or full browser detail.</x:v>
      </x:c>
      <x:c r="M18" s="10" t="str">
        <x:v>PARTIAL</x:v>
      </x:c>
      <x:c r="N18" s="10" t="str">
        <x:v>https://github.com/Don-Sanvura/Civic-connect/actions/runs/38238109916; local suite and QA probes; only linked assertions proven</x:v>
      </x:c>
      <x:c r="O18" s="10" t="str">
        <x:v>DEC-008 Deferred; ADR-013 Proposed. No approved detailed design located.</x:v>
      </x:c>
      <x:c r="P18" s="10" t="str">
        <x:v>NOT READY recommendation; no sign-off</x:v>
      </x:c>
      <x:c r="Q18" s="10" t="str">
        <x:v>f874f5cba35cb326c7a3aabeaa0e183f4eedb4b4</x:v>
      </x:c>
    </x:row>
    <x:row r="19" ht="84" customHeight="1">
      <x:c r="A19" s="9" t="str">
        <x:v>TR-011</x:v>
      </x:c>
      <x:c r="B19" s="9" t="str">
        <x:v>FR-014</x:v>
      </x:c>
      <x:c r="C19" s="9" t="str">
        <x:v>Must</x:v>
      </x:c>
      <x:c r="D19" s="9" t="str">
        <x:v>AC-014</x:v>
      </x:c>
      <x:c r="E19" s="9" t="str">
        <x:v>Must</x:v>
      </x:c>
      <x:c r="F19" s="9" t="str">
        <x:v>Given an unassigned request, when a Staff user accepts it, then that user becomes the assignee and the assignment is written to the audit trail; and when a Manager reassigns it, the previous and new assignee are both recorded.</x:v>
      </x:c>
      <x:c r="G19" s="9" t="str">
        <x:v>TR/requirement correct; requirement and AC text exact</x:v>
      </x:c>
      <x:c r="H19" s="9" t="str">
        <x:v>TST-008; TST-009; TST-010</x:v>
      </x:c>
      <x:c r="I19" s="14" t="b">
        <x:v>1</x:v>
      </x:c>
      <x:c r="J19" s="9" t="str">
        <x:v>TST-008,009,010,019,022; QA-P03</x:v>
      </x:c>
      <x:c r="K19" s="9" t="str">
        <x:v>src/app.js assignRequest; POST /api/requests/:id/assign</x:v>
      </x:c>
      <x:c r="L19" s="9" t="str">
        <x:v>assignRequest supports staff self-assign and manager reassignment with before/after audit. Assignee is an arbitrary string, not validated active Staff.</x:v>
      </x:c>
      <x:c r="M19" s="9" t="str">
        <x:v>FAILED</x:v>
      </x:c>
      <x:c r="N19" s="9" t="str">
        <x:v>https://github.com/Don-Sanvura/Civic-connect/actions/runs/38238109916; local suite and QA probes; only linked assertions proven</x:v>
      </x:c>
      <x:c r="O19" s="9" t="str">
        <x:v>DEC-008 Deferred; ADR-013 Proposed. No approved detailed design located.</x:v>
      </x:c>
      <x:c r="P19" s="9" t="str">
        <x:v>NOT READY recommendation; no sign-off</x:v>
      </x:c>
      <x:c r="Q19" s="9" t="str">
        <x:v>f874f5cba35cb326c7a3aabeaa0e183f4eedb4b4</x:v>
      </x:c>
    </x:row>
    <x:row r="20" ht="84" customHeight="1">
      <x:c r="A20" s="10" t="str">
        <x:v>TR-012</x:v>
      </x:c>
      <x:c r="B20" s="10" t="str">
        <x:v>FR-015</x:v>
      </x:c>
      <x:c r="C20" s="10" t="str">
        <x:v>Must</x:v>
      </x:c>
      <x:c r="D20" s="10" t="str">
        <x:v>AC-015</x:v>
      </x:c>
      <x:c r="E20" s="10" t="str">
        <x:v>Must</x:v>
      </x:c>
      <x:c r="F20" s="10" t="str">
        <x:v>Given a request in status Closed, when any transition other than the defined reopen path is attempted, then it is refused and the status is unchanged; and every permitted transition is recorded with actor and timestamp.</x:v>
      </x:c>
      <x:c r="G20" s="10" t="str">
        <x:v>TR/requirement correct; requirement and AC text exact</x:v>
      </x:c>
      <x:c r="H20" s="10" t="str">
        <x:v>TST-012; TST-022</x:v>
      </x:c>
      <x:c r="I20" s="15" t="b">
        <x:v>1</x:v>
      </x:c>
      <x:c r="J20" s="10" t="str">
        <x:v>TST-012,022,028; QA-P01</x:v>
      </x:c>
      <x:c r="K20" s="10" t="str">
        <x:v>src/app.js transitionRequest; PATCH /api/requests/:id/status</x:v>
      </x:c>
      <x:c r="L20" s="10" t="str">
        <x:v>Seven-state transition table exists, including Closed to In Progress. Notes are written before transition validation.</x:v>
      </x:c>
      <x:c r="M20" s="10" t="str">
        <x:v>FAILED</x:v>
      </x:c>
      <x:c r="N20" s="10" t="str">
        <x:v>https://github.com/Don-Sanvura/Civic-connect/actions/runs/38238109916; local suite and QA probes; only linked assertions proven</x:v>
      </x:c>
      <x:c r="O20" s="10" t="str">
        <x:v>DEC-008 Deferred; ADR-013 Proposed. No approved detailed design located.</x:v>
      </x:c>
      <x:c r="P20" s="10" t="str">
        <x:v>NOT READY recommendation; no sign-off</x:v>
      </x:c>
      <x:c r="Q20" s="10" t="str">
        <x:v>f874f5cba35cb326c7a3aabeaa0e183f4eedb4b4</x:v>
      </x:c>
    </x:row>
    <x:row r="21" ht="84" customHeight="1">
      <x:c r="A21" s="9" t="str">
        <x:v>TR-024</x:v>
      </x:c>
      <x:c r="B21" s="9" t="str">
        <x:v>FR-016</x:v>
      </x:c>
      <x:c r="C21" s="9" t="str">
        <x:v>Must</x:v>
      </x:c>
      <x:c r="D21" s="9" t="str">
        <x:v>AC-016</x:v>
      </x:c>
      <x:c r="E21" s="9" t="str">
        <x:v>Must</x:v>
      </x:c>
      <x:c r="F21" s="9" t="str">
        <x:v>Given a request being moved to Resolved, when no resolution note is supplied, then the transition is refused; when a note is supplied, the note is stored against the request with author and timestamp.</x:v>
      </x:c>
      <x:c r="G21" s="9" t="str">
        <x:v>TR/requirement correct; requirement and AC text exact</x:v>
      </x:c>
      <x:c r="H21" s="9" t="str">
        <x:v>TST-013; TST-014; TST-022</x:v>
      </x:c>
      <x:c r="I21" s="14" t="b">
        <x:v>1</x:v>
      </x:c>
      <x:c r="J21" s="9" t="str">
        <x:v>TST-013,014,022; QA-P02</x:v>
      </x:c>
      <x:c r="K21" s="9" t="str">
        <x:v>Partial: resolution note required and audited; separate action-record feature not implemented</x:v>
      </x:c>
      <x:c r="L21" s="9" t="str">
        <x:v>Assigned staff require resolution note; note stored on request. No separate action-recording workflow. Audit captures incorrect previous note.</x:v>
      </x:c>
      <x:c r="M21" s="9" t="str">
        <x:v>PARTIAL</x:v>
      </x:c>
      <x:c r="N21" s="9" t="str">
        <x:v>https://github.com/Don-Sanvura/Civic-connect/actions/runs/38238109916; local suite and QA probes; only linked assertions proven</x:v>
      </x:c>
      <x:c r="O21" s="9" t="str">
        <x:v>DEC-008 Deferred; ADR-013 Proposed. No approved detailed design located.</x:v>
      </x:c>
      <x:c r="P21" s="9" t="str">
        <x:v>NOT READY recommendation; no sign-off</x:v>
      </x:c>
      <x:c r="Q21" s="9" t="str">
        <x:v>f874f5cba35cb326c7a3aabeaa0e183f4eedb4b4</x:v>
      </x:c>
    </x:row>
    <x:row r="22" ht="84" customHeight="1">
      <x:c r="A22" s="10" t="str">
        <x:v>TR-030</x:v>
      </x:c>
      <x:c r="B22" s="10" t="str">
        <x:v>FR-017</x:v>
      </x:c>
      <x:c r="C22" s="10" t="str">
        <x:v>Must</x:v>
      </x:c>
      <x:c r="D22" s="10" t="str">
        <x:v>AC-017</x:v>
      </x:c>
      <x:c r="E22" s="10" t="str">
        <x:v>Must</x:v>
      </x:c>
      <x:c r="F22" s="10" t="str">
        <x:v>Given a Resolved request, when a Manager closes it, then the status becomes Closed with actor and timestamp recorded; and a Staff user attempting to close it directly is refused.</x:v>
      </x:c>
      <x:c r="G22" s="10" t="str">
        <x:v>TR/requirement correct; requirement and AC text exact</x:v>
      </x:c>
      <x:c r="H22" s="10" t="str">
        <x:v>TST-015; TST-022</x:v>
      </x:c>
      <x:c r="I22" s="15" t="b">
        <x:v>1</x:v>
      </x:c>
      <x:c r="J22" s="10" t="str">
        <x:v>TST-015,022; QA-P01 setup</x:v>
      </x:c>
      <x:c r="K22" s="10" t="str">
        <x:v>Partial: assigned staff resolves and manager closes; verify full baseline state matrix</x:v>
      </x:c>
      <x:c r="L22" s="10" t="str">
        <x:v>Assigned Staff resolve and Manager closes Resolved; Staff closure returns 403. Admin also permitted to close. API only.</x:v>
      </x:c>
      <x:c r="M22" s="10" t="str">
        <x:v>PARTIAL</x:v>
      </x:c>
      <x:c r="N22" s="10" t="str">
        <x:v>https://github.com/Don-Sanvura/Civic-connect/actions/runs/38238109916; local suite and QA probes; only linked assertions proven</x:v>
      </x:c>
      <x:c r="O22" s="10" t="str">
        <x:v>DEC-008 Deferred; ADR-013 Proposed. No approved detailed design located.</x:v>
      </x:c>
      <x:c r="P22" s="10" t="str">
        <x:v>NOT READY recommendation; no sign-off</x:v>
      </x:c>
      <x:c r="Q22" s="10" t="str">
        <x:v>f874f5cba35cb326c7a3aabeaa0e183f4eedb4b4</x:v>
      </x:c>
    </x:row>
    <x:row r="23" ht="84" customHeight="1">
      <x:c r="A23" s="9" t="str">
        <x:v>TR-031</x:v>
      </x:c>
      <x:c r="B23" s="9" t="str">
        <x:v>FR-018</x:v>
      </x:c>
      <x:c r="C23" s="9" t="str">
        <x:v>Should</x:v>
      </x:c>
      <x:c r="D23" s="9" t="str">
        <x:v>AC-018</x:v>
      </x:c>
      <x:c r="E23" s="9" t="str">
        <x:v>Should</x:v>
      </x:c>
      <x:c r="F23" s="9" t="str">
        <x:v>Given a request being rejected, when no reason is supplied, then the rejection is refused; when a reason is supplied, the request status becomes Rejected, the reason is stored and the Requester is notified (FR-009).</x:v>
      </x:c>
      <x:c r="G23" s="9" t="str">
        <x:v>TR/requirement correct; requirement and AC text exact</x:v>
      </x:c>
      <x:c r="H23" s="9" t="str">
        <x:v>TST-016; TST-017</x:v>
      </x:c>
      <x:c r="I23" s="14" t="b">
        <x:v>1</x:v>
      </x:c>
      <x:c r="J23" s="9" t="str">
        <x:v>TST-016,017,028</x:v>
      </x:c>
      <x:c r="K23" s="9" t="str">
        <x:v>Partial: rejection reason required; requester notification not implemented</x:v>
      </x:c>
      <x:c r="L23" s="9" t="str">
        <x:v>Manager rejection requires/stores reason and status. Staff can reject only own assigned request. No notification or return workflow.</x:v>
      </x:c>
      <x:c r="M23" s="9" t="str">
        <x:v>PARTIAL</x:v>
      </x:c>
      <x:c r="N23" s="9" t="str">
        <x:v>https://github.com/Don-Sanvura/Civic-connect/actions/runs/38238109916; local suite and QA probes; only linked assertions proven</x:v>
      </x:c>
      <x:c r="O23" s="9" t="str">
        <x:v>DEC-008 Deferred; ADR-013 Proposed. No approved detailed design located.</x:v>
      </x:c>
      <x:c r="P23" s="9" t="str">
        <x:v>NOT READY recommendation; no sign-off</x:v>
      </x:c>
      <x:c r="Q23" s="9" t="str">
        <x:v>f874f5cba35cb326c7a3aabeaa0e183f4eedb4b4</x:v>
      </x:c>
    </x:row>
    <x:row r="24" ht="84" customHeight="1">
      <x:c r="A24" s="10" t="str">
        <x:v>TR-005</x:v>
      </x:c>
      <x:c r="B24" s="10" t="str">
        <x:v>FR-019</x:v>
      </x:c>
      <x:c r="C24" s="10" t="str">
        <x:v>Must</x:v>
      </x:c>
      <x:c r="D24" s="10" t="str">
        <x:v>AC-019</x:v>
      </x:c>
      <x:c r="E24" s="10" t="str">
        <x:v>Must</x:v>
      </x:c>
      <x:c r="F24" s="10" t="str">
        <x:v>Given a known data set for a period, when the dashboard is opened for that period, then each displayed count equals the count obtained directly from the stored records for that period.</x:v>
      </x:c>
      <x:c r="G24" s="10" t="str">
        <x:v>TR/requirement correct; requirement and AC text exact</x:v>
      </x:c>
      <x:c r="H24" s="10" t="str">
        <x:v>NOT COVERED BY CURRENT TEST SUITE</x:v>
      </x:c>
      <x:c r="I24" s="15" t="b">
        <x:v>1</x:v>
      </x:c>
      <x:c r="J24" s="10" t="str">
        <x:v>None</x:v>
      </x:c>
      <x:c r="K24" s="10" t="str">
        <x:v>NOT IMPLEMENTED IN CURRENT VERTICAL SLICE; requires implementation and verification</x:v>
      </x:c>
      <x:c r="L24" s="10" t="str">
        <x:v>No dashboard route, aggregation or period selection.</x:v>
      </x:c>
      <x:c r="M24" s="10" t="str">
        <x:v>GAP</x:v>
      </x:c>
      <x:c r="N24" s="10" t="str">
        <x:v>https://github.com/Don-Sanvura/Civic-connect/actions/runs/38238109916; local suite and QA probes; only linked assertions proven</x:v>
      </x:c>
      <x:c r="O24" s="10" t="str">
        <x:v>DEC-008 Deferred; ADR-013 Proposed. No approved detailed design located.</x:v>
      </x:c>
      <x:c r="P24" s="10" t="str">
        <x:v>NOT READY recommendation; no sign-off</x:v>
      </x:c>
      <x:c r="Q24" s="10" t="str">
        <x:v>f874f5cba35cb326c7a3aabeaa0e183f4eedb4b4</x:v>
      </x:c>
    </x:row>
    <x:row r="25" ht="84" customHeight="1">
      <x:c r="A25" s="9" t="str">
        <x:v>TR-014</x:v>
      </x:c>
      <x:c r="B25" s="9" t="str">
        <x:v>FR-020</x:v>
      </x:c>
      <x:c r="C25" s="9" t="str">
        <x:v>Must</x:v>
      </x:c>
      <x:c r="D25" s="9" t="str">
        <x:v>AC-020</x:v>
      </x:c>
      <x:c r="E25" s="9" t="str">
        <x:v>Must</x:v>
      </x:c>
      <x:c r="F25" s="9" t="str">
        <x:v>Given a seeded data set, when a breakdown by category is requested, then every active category is represented and the sum of the category counts equals the total request count for the period.</x:v>
      </x:c>
      <x:c r="G25" s="9" t="str">
        <x:v>TR/requirement correct; requirement and AC text exact</x:v>
      </x:c>
      <x:c r="H25" s="9" t="str">
        <x:v>NOT COVERED BY CURRENT TEST SUITE</x:v>
      </x:c>
      <x:c r="I25" s="14" t="b">
        <x:v>1</x:v>
      </x:c>
      <x:c r="J25" s="9" t="str">
        <x:v>None</x:v>
      </x:c>
      <x:c r="K25" s="9" t="str">
        <x:v>NOT IMPLEMENTED IN CURRENT VERTICAL SLICE; requires implementation and verification</x:v>
      </x:c>
      <x:c r="L25" s="9" t="str">
        <x:v>No management breakdowns or period model.</x:v>
      </x:c>
      <x:c r="M25" s="9" t="str">
        <x:v>GAP</x:v>
      </x:c>
      <x:c r="N25" s="9" t="str">
        <x:v>https://github.com/Don-Sanvura/Civic-connect/actions/runs/38238109916; local suite and QA probes; only linked assertions proven</x:v>
      </x:c>
      <x:c r="O25" s="9" t="str">
        <x:v>DEC-008 Deferred; ADR-013 Proposed. No approved detailed design located.</x:v>
      </x:c>
      <x:c r="P25" s="9" t="str">
        <x:v>NOT READY recommendation; no sign-off</x:v>
      </x:c>
      <x:c r="Q25" s="9" t="str">
        <x:v>f874f5cba35cb326c7a3aabeaa0e183f4eedb4b4</x:v>
      </x:c>
    </x:row>
    <x:row r="26" ht="84" customHeight="1">
      <x:c r="A26" s="10" t="str">
        <x:v>TR-006</x:v>
      </x:c>
      <x:c r="B26" s="10" t="str">
        <x:v>FR-021</x:v>
      </x:c>
      <x:c r="C26" s="10" t="str">
        <x:v>Must</x:v>
      </x:c>
      <x:c r="D26" s="10" t="str">
        <x:v>AC-021</x:v>
      </x:c>
      <x:c r="E26" s="10" t="str">
        <x:v>Must</x:v>
      </x:c>
      <x:c r="F26" s="10" t="str">
        <x:v>Given a category with a configured target of T hours and a request open for more than T hours in a non-terminal status, when the dashboard or queue is viewed, then that request is flagged overdue; and a request open for less than T hours is not flagged.</x:v>
      </x:c>
      <x:c r="G26" s="10" t="str">
        <x:v>TR/requirement correct; requirement and AC text exact</x:v>
      </x:c>
      <x:c r="H26" s="10" t="str">
        <x:v>NOT COVERED BY CURRENT TEST SUITE</x:v>
      </x:c>
      <x:c r="I26" s="15" t="b">
        <x:v>1</x:v>
      </x:c>
      <x:c r="J26" s="10" t="str">
        <x:v>None</x:v>
      </x:c>
      <x:c r="K26" s="10" t="str">
        <x:v>NOT IMPLEMENTED IN CURRENT VERTICAL SLICE; requires implementation and verification</x:v>
      </x:c>
      <x:c r="L26" s="10" t="str">
        <x:v>Category targetHours may be stored; no overdue calculation or flag. RSK-05/AS-02 targets unresolved.</x:v>
      </x:c>
      <x:c r="M26" s="10" t="str">
        <x:v>GAP</x:v>
      </x:c>
      <x:c r="N26" s="10" t="str">
        <x:v>https://github.com/Don-Sanvura/Civic-connect/actions/runs/38238109916; local suite and QA probes; only linked assertions proven</x:v>
      </x:c>
      <x:c r="O26" s="10" t="str">
        <x:v>DEC-008 Deferred; ADR-013 Proposed. No approved detailed design located.</x:v>
      </x:c>
      <x:c r="P26" s="10" t="str">
        <x:v>NOT READY recommendation; no sign-off</x:v>
      </x:c>
      <x:c r="Q26" s="10" t="str">
        <x:v>f874f5cba35cb326c7a3aabeaa0e183f4eedb4b4</x:v>
      </x:c>
    </x:row>
    <x:row r="27" ht="84" customHeight="1">
      <x:c r="A27" s="9" t="str">
        <x:v>TR-032</x:v>
      </x:c>
      <x:c r="B27" s="9" t="str">
        <x:v>FR-022</x:v>
      </x:c>
      <x:c r="C27" s="9" t="str">
        <x:v>Should</x:v>
      </x:c>
      <x:c r="D27" s="9" t="str">
        <x:v>AC-022</x:v>
      </x:c>
      <x:c r="E27" s="9" t="str">
        <x:v>Should</x:v>
      </x:c>
      <x:c r="F27" s="9" t="str">
        <x:v>Given a filtered request list of n rows, when export is selected, then a CSV file is produced containing exactly n data rows with a header row and the same field values as displayed.</x:v>
      </x:c>
      <x:c r="G27" s="9" t="str">
        <x:v>TR/requirement correct; requirement and AC text exact</x:v>
      </x:c>
      <x:c r="H27" s="9" t="str">
        <x:v>NOT COVERED BY CURRENT TEST SUITE</x:v>
      </x:c>
      <x:c r="I27" s="14" t="b">
        <x:v>1</x:v>
      </x:c>
      <x:c r="J27" s="9" t="str">
        <x:v>None</x:v>
      </x:c>
      <x:c r="K27" s="9" t="str">
        <x:v>NOT IMPLEMENTED IN CURRENT VERTICAL SLICE; requires implementation and verification</x:v>
      </x:c>
      <x:c r="L27" s="9" t="str">
        <x:v>No export route or download control.</x:v>
      </x:c>
      <x:c r="M27" s="9" t="str">
        <x:v>GAP</x:v>
      </x:c>
      <x:c r="N27" s="9" t="str">
        <x:v>https://github.com/Don-Sanvura/Civic-connect/actions/runs/38238109916; local suite and QA probes; only linked assertions proven</x:v>
      </x:c>
      <x:c r="O27" s="9" t="str">
        <x:v>DEC-008 Deferred; ADR-013 Proposed. No approved detailed design located.</x:v>
      </x:c>
      <x:c r="P27" s="9" t="str">
        <x:v>NOT READY recommendation; no sign-off</x:v>
      </x:c>
      <x:c r="Q27" s="9" t="str">
        <x:v>f874f5cba35cb326c7a3aabeaa0e183f4eedb4b4</x:v>
      </x:c>
    </x:row>
    <x:row r="28" ht="84" customHeight="1">
      <x:c r="A28" s="10" t="str">
        <x:v>TR-021</x:v>
      </x:c>
      <x:c r="B28" s="10" t="str">
        <x:v>FR-023</x:v>
      </x:c>
      <x:c r="C28" s="10" t="str">
        <x:v>Must</x:v>
      </x:c>
      <x:c r="D28" s="10" t="str">
        <x:v>AC-023</x:v>
      </x:c>
      <x:c r="E28" s="10" t="str">
        <x:v>Must</x:v>
      </x:c>
      <x:c r="F28" s="10" t="str">
        <x:v>Given a category referenced by existing requests, when deactivation is attempted, then the category is deactivated for new submissions while existing requests retain it; and deletion that would orphan a request is refused.</x:v>
      </x:c>
      <x:c r="G28" s="10" t="str">
        <x:v>TR/requirement correct; requirement and AC text exact</x:v>
      </x:c>
      <x:c r="H28" s="10" t="str">
        <x:v>TST-023; TST-024</x:v>
      </x:c>
      <x:c r="I28" s="15" t="b">
        <x:v>1</x:v>
      </x:c>
      <x:c r="J28" s="10" t="str">
        <x:v>TST-023,024; QA-P04,P05</x:v>
      </x:c>
      <x:c r="K28" s="10" t="str">
        <x:v>Partial: admin can create/rename/deactivate categories; category persistence and referential integrity not implemented</x:v>
      </x:c>
      <x:c r="L28" s="10" t="str">
        <x:v>Admin category create/update/rename/deactivate/target exists. Requests store category name strings; no deletion endpoint. POST existing name silently updates.</x:v>
      </x:c>
      <x:c r="M28" s="10" t="str">
        <x:v>PARTIAL</x:v>
      </x:c>
      <x:c r="N28" s="10" t="str">
        <x:v>https://github.com/Don-Sanvura/Civic-connect/actions/runs/38238109916; local suite and QA probes; only linked assertions proven</x:v>
      </x:c>
      <x:c r="O28" s="10" t="str">
        <x:v>DEC-008 Deferred; ADR-013 Proposed. No approved detailed design located.</x:v>
      </x:c>
      <x:c r="P28" s="10" t="str">
        <x:v>NOT READY recommendation; no sign-off</x:v>
      </x:c>
      <x:c r="Q28" s="10" t="str">
        <x:v>f874f5cba35cb326c7a3aabeaa0e183f4eedb4b4</x:v>
      </x:c>
    </x:row>
    <x:row r="29" ht="84" customHeight="1">
      <x:c r="A29" s="9" t="str">
        <x:v>TR-022</x:v>
      </x:c>
      <x:c r="B29" s="9" t="str">
        <x:v>FR-024</x:v>
      </x:c>
      <x:c r="C29" s="9" t="str">
        <x:v>Must</x:v>
      </x:c>
      <x:c r="D29" s="9" t="str">
        <x:v>AC-024</x:v>
      </x:c>
      <x:c r="E29" s="9" t="str">
        <x:v>Must</x:v>
      </x:c>
      <x:c r="F29" s="9" t="str">
        <x:v>Given an active user with assigned open requests, when the account is deactivated, then the user can no longer sign in, the assigned requests remain visible to the Manager for reassignment, and the change is written to the audit trail.</x:v>
      </x:c>
      <x:c r="G29" s="9" t="str">
        <x:v>TR/requirement correct; requirement and AC text exact</x:v>
      </x:c>
      <x:c r="H29" s="9" t="str">
        <x:v>NOT COVERED BY CURRENT TEST SUITE</x:v>
      </x:c>
      <x:c r="I29" s="14" t="b">
        <x:v>1</x:v>
      </x:c>
      <x:c r="J29" s="9" t="str">
        <x:v>None</x:v>
      </x:c>
      <x:c r="K29" s="9" t="str">
        <x:v>NOT IMPLEMENTED IN CURRENT VERTICAL SLICE; requires implementation and verification</x:v>
      </x:c>
      <x:c r="L29" s="9" t="str">
        <x:v>No user store, role-change endpoint, account deactivation, session revocation or user audit.</x:v>
      </x:c>
      <x:c r="M29" s="9" t="str">
        <x:v>GAP</x:v>
      </x:c>
      <x:c r="N29" s="9" t="str">
        <x:v>https://github.com/Don-Sanvura/Civic-connect/actions/runs/38238109916; local suite and QA probes; only linked assertions proven</x:v>
      </x:c>
      <x:c r="O29" s="9" t="str">
        <x:v>DEC-008 Deferred; ADR-013 Proposed. No approved detailed design located.</x:v>
      </x:c>
      <x:c r="P29" s="9" t="str">
        <x:v>NOT READY recommendation; no sign-off</x:v>
      </x:c>
      <x:c r="Q29" s="9" t="str">
        <x:v>f874f5cba35cb326c7a3aabeaa0e183f4eedb4b4</x:v>
      </x:c>
    </x:row>
    <x:row r="30" ht="84" customHeight="1">
      <x:c r="A30" s="10" t="str">
        <x:v>TR-007</x:v>
      </x:c>
      <x:c r="B30" s="10" t="str">
        <x:v>FR-025</x:v>
      </x:c>
      <x:c r="C30" s="10" t="str">
        <x:v>Must</x:v>
      </x:c>
      <x:c r="D30" s="10" t="str">
        <x:v>AC-025</x:v>
      </x:c>
      <x:c r="E30" s="10" t="str">
        <x:v>Must</x:v>
      </x:c>
      <x:c r="F30" s="10" t="str">
        <x:v>Given a request that has undergone k status or assignment changes, when the history is viewed, then exactly k ordered entries are shown each with actor, UTC timestamp, previous value and new value; and no application function exists that edits or deletes an entry.</x:v>
      </x:c>
      <x:c r="G30" s="10" t="str">
        <x:v>TR/requirement correct; requirement and AC text exact</x:v>
      </x:c>
      <x:c r="H30" s="10" t="str">
        <x:v>NOT COVERED BY CURRENT TEST SUITE</x:v>
      </x:c>
      <x:c r="I30" s="15" t="b">
        <x:v>1</x:v>
      </x:c>
      <x:c r="J30" s="10" t="str">
        <x:v>TST-019,022,028; QA-P01,P02,P07,P09,P10</x:v>
      </x:c>
      <x:c r="K30" s="10" t="str">
        <x:v>NOT IMPLEMENTED IN CURRENT VERTICAL SLICE; requires implementation and verification</x:v>
      </x:c>
      <x:c r="L30" s="10" t="str">
        <x:v>record appends actor/time/previous/new; history exposed via getRequest; no audit edit/delete routes. Memory is volatile; actor equals bearer secret.</x:v>
      </x:c>
      <x:c r="M30" s="10" t="str">
        <x:v>FAILED</x:v>
      </x:c>
      <x:c r="N30" s="10" t="str">
        <x:v>https://github.com/Don-Sanvura/Civic-connect/actions/runs/38238109916; local suite and QA probes; only linked assertions proven</x:v>
      </x:c>
      <x:c r="O30" s="10" t="str">
        <x:v>DEC-008 Deferred; ADR-013 Proposed. No approved detailed design located.</x:v>
      </x:c>
      <x:c r="P30" s="10" t="str">
        <x:v>NOT READY recommendation; no sign-off</x:v>
      </x:c>
      <x:c r="Q30" s="10" t="str">
        <x:v>f874f5cba35cb326c7a3aabeaa0e183f4eedb4b4</x:v>
      </x:c>
    </x:row>
    <x:row r="31" ht="84" customHeight="1">
      <x:c r="A31" s="9" t="str">
        <x:v>TR-025</x:v>
      </x:c>
      <x:c r="B31" s="9" t="str">
        <x:v>FR-026</x:v>
      </x:c>
      <x:c r="C31" s="9" t="str">
        <x:v>Could</x:v>
      </x:c>
      <x:c r="D31" s="9" t="str">
        <x:v>AC-026</x:v>
      </x:c>
      <x:c r="E31" s="9" t="str">
        <x:v>Could</x:v>
      </x:c>
      <x:c r="F31" s="9" t="str">
        <x:v>Given an existing open request with category C and location L, when a Requester submits a new request with category C and location L, then a warning listing the possible duplicate is displayed and the Requester may confirm or cancel.</x:v>
      </x:c>
      <x:c r="G31" s="9" t="str">
        <x:v>TR/requirement correct; requirement and AC text exact</x:v>
      </x:c>
      <x:c r="H31" s="9" t="str">
        <x:v>NOT COVERED BY CURRENT TEST SUITE</x:v>
      </x:c>
      <x:c r="I31" s="14" t="b">
        <x:v>1</x:v>
      </x:c>
      <x:c r="J31" s="9" t="str">
        <x:v>TST-028 does not cover FR-026</x:v>
      </x:c>
      <x:c r="K31" s="9" t="str">
        <x:v>NOT IMPLEMENTED IN CURRENT VERTICAL SLICE; requires implementation and verification</x:v>
      </x:c>
      <x:c r="L31" s="9" t="str">
        <x:v>No duplicate lookup, warning, confirm/cancel UI or two-stage submission.</x:v>
      </x:c>
      <x:c r="M31" s="9" t="str">
        <x:v>GAP</x:v>
      </x:c>
      <x:c r="N31" s="9" t="str">
        <x:v>https://github.com/Don-Sanvura/Civic-connect/actions/runs/38238109916; local suite and QA probes; only linked assertions proven</x:v>
      </x:c>
      <x:c r="O31" s="9" t="str">
        <x:v>DEC-008 Deferred; ADR-013 Proposed. No approved detailed design located.</x:v>
      </x:c>
      <x:c r="P31" s="9" t="str">
        <x:v>NOT READY recommendation; no sign-off</x:v>
      </x:c>
      <x:c r="Q31" s="9" t="str">
        <x:v>f874f5cba35cb326c7a3aabeaa0e183f4eedb4b4</x:v>
      </x:c>
    </x:row>
    <x:row r="32" ht="84" customHeight="1">
      <x:c r="A32" s="10" t="str">
        <x:v>TR-020</x:v>
      </x:c>
      <x:c r="B32" s="10" t="str">
        <x:v>NFR-001</x:v>
      </x:c>
      <x:c r="C32" s="10" t="str">
        <x:v>Must</x:v>
      </x:c>
      <x:c r="D32" s="10" t="str">
        <x:v>AC-N001</x:v>
      </x:c>
      <x:c r="E32" s="10" t="str">
        <x:v>Must</x:v>
      </x:c>
      <x:c r="F32" s="10" t="str">
        <x:v>A load test of 10 concurrent users over 5 minutes against a 500-record data set reports a 95th percentile response time of 2.0 seconds or less. Cold-start latency is measured and reported separately (see NFR-002).</x:v>
      </x:c>
      <x:c r="G32" s="10" t="str">
        <x:v>TR/requirement correct; requirement and AC text exact</x:v>
      </x:c>
      <x:c r="H32" s="10" t="str">
        <x:v>NOT COVERED BY CURRENT TEST SUITE</x:v>
      </x:c>
      <x:c r="I32" s="15" t="b">
        <x:v>1</x:v>
      </x:c>
      <x:c r="J32" s="10" t="str">
        <x:v>CI synthetic run: 25 success, 0 failure, p95 42.087963ms</x:v>
      </x:c>
      <x:c r="K32" s="10" t="str">
        <x:v>NOT IMPLEMENTED IN CURRENT VERTICAL SLICE; requires implementation and verification</x:v>
      </x:c>
      <x:c r="L32" s="10" t="str">
        <x:v>Runner POSTs 25 concurrent submissions once; it never tests filtered GET for 5 minutes.</x:v>
      </x:c>
      <x:c r="M32" s="10" t="str">
        <x:v>GAP</x:v>
      </x:c>
      <x:c r="N32" s="10" t="str">
        <x:v>https://github.com/Don-Sanvura/Civic-connect/actions/runs/38238109916; local suite and QA probes; only linked assertions proven</x:v>
      </x:c>
      <x:c r="O32" s="10" t="str">
        <x:v>DEC-008 Deferred; ADR-013 Proposed. No approved detailed design located.</x:v>
      </x:c>
      <x:c r="P32" s="10" t="str">
        <x:v>NOT READY recommendation; no sign-off</x:v>
      </x:c>
      <x:c r="Q32" s="10" t="str">
        <x:v>f874f5cba35cb326c7a3aabeaa0e183f4eedb4b4</x:v>
      </x:c>
    </x:row>
    <x:row r="33" ht="84" customHeight="1">
      <x:c r="A33" s="9" t="str">
        <x:v>TR-033</x:v>
      </x:c>
      <x:c r="B33" s="9" t="str">
        <x:v>NFR-002</x:v>
      </x:c>
      <x:c r="C33" s="9" t="str">
        <x:v>Should</x:v>
      </x:c>
      <x:c r="D33" s="9" t="str">
        <x:v>AC-N002</x:v>
      </x:c>
      <x:c r="E33" s="9" t="str">
        <x:v>Should</x:v>
      </x:c>
      <x:c r="F33" s="9" t="str">
        <x:v>An uptime log across the evaluation period shows availability of 95% or more within the stated window, and the observed cold-start latency is recorded as a known limitation in the PED.</x:v>
      </x:c>
      <x:c r="G33" s="9" t="str">
        <x:v>TR/requirement correct; requirement and AC text exact</x:v>
      </x:c>
      <x:c r="H33" s="9" t="str">
        <x:v>NOT COVERED BY CURRENT TEST SUITE</x:v>
      </x:c>
      <x:c r="I33" s="14" t="b">
        <x:v>1</x:v>
      </x:c>
      <x:c r="J33" s="9" t="str">
        <x:v>No uptime execution evidence located</x:v>
      </x:c>
      <x:c r="K33" s="9" t="str">
        <x:v>NOT IMPLEMENTED IN CURRENT VERTICAL SLICE; requires implementation and verification</x:v>
      </x:c>
      <x:c r="L33" s="9" t="str">
        <x:v>Health endpoint and local staging instructions exist. No hosted evaluation-period uptime log.</x:v>
      </x:c>
      <x:c r="M33" s="9" t="str">
        <x:v>AWAITING EVIDENCE</x:v>
      </x:c>
      <x:c r="N33" s="9" t="str">
        <x:v>https://github.com/Don-Sanvura/Civic-connect/actions/runs/38238109916; local suite and QA probes; only linked assertions proven</x:v>
      </x:c>
      <x:c r="O33" s="9" t="str">
        <x:v>DEC-008 Deferred; ADR-013 Proposed. No approved detailed design located.</x:v>
      </x:c>
      <x:c r="P33" s="9" t="str">
        <x:v>NOT READY recommendation; no sign-off</x:v>
      </x:c>
      <x:c r="Q33" s="9" t="str">
        <x:v>f874f5cba35cb326c7a3aabeaa0e183f4eedb4b4</x:v>
      </x:c>
    </x:row>
    <x:row r="34" ht="84" customHeight="1">
      <x:c r="A34" s="10" t="str">
        <x:v>TR-034</x:v>
      </x:c>
      <x:c r="B34" s="10" t="str">
        <x:v>NFR-003</x:v>
      </x:c>
      <x:c r="C34" s="10" t="str">
        <x:v>Must</x:v>
      </x:c>
      <x:c r="D34" s="10" t="str">
        <x:v>AC-N003</x:v>
      </x:c>
      <x:c r="E34" s="10" t="str">
        <x:v>Must</x:v>
      </x:c>
      <x:c r="F34" s="10" t="str">
        <x:v>Inspection of the stored user records shows no plaintext or reversible password value, and code review confirms the hashing algorithm and cost factor.</x:v>
      </x:c>
      <x:c r="G34" s="10" t="str">
        <x:v>TR/requirement correct; requirement and AC text exact</x:v>
      </x:c>
      <x:c r="H34" s="10" t="str">
        <x:v>NOT COVERED BY CURRENT TEST SUITE</x:v>
      </x:c>
      <x:c r="I34" s="15" t="b">
        <x:v>1</x:v>
      </x:c>
      <x:c r="J34" s="10" t="str">
        <x:v>No hash inspection evidence</x:v>
      </x:c>
      <x:c r="K34" s="10" t="str">
        <x:v>NOT IMPLEMENTED IN CURRENT VERTICAL SLICE; requires implementation and verification</x:v>
      </x:c>
      <x:c r="L34" s="10" t="str">
        <x:v>No passwords or user records. Demo tokens replace authentication rather than satisfy password storage.</x:v>
      </x:c>
      <x:c r="M34" s="10" t="str">
        <x:v>GAP</x:v>
      </x:c>
      <x:c r="N34" s="10" t="str">
        <x:v>https://github.com/Don-Sanvura/Civic-connect/actions/runs/38238109916; local suite and QA probes; only linked assertions proven</x:v>
      </x:c>
      <x:c r="O34" s="10" t="str">
        <x:v>DEC-008 Deferred; ADR-013 Proposed. No approved detailed design located.</x:v>
      </x:c>
      <x:c r="P34" s="10" t="str">
        <x:v>NOT READY recommendation; no sign-off</x:v>
      </x:c>
      <x:c r="Q34" s="10" t="str">
        <x:v>f874f5cba35cb326c7a3aabeaa0e183f4eedb4b4</x:v>
      </x:c>
    </x:row>
    <x:row r="35" ht="84" customHeight="1">
      <x:c r="A35" s="9" t="str">
        <x:v>TR-017</x:v>
      </x:c>
      <x:c r="B35" s="9" t="str">
        <x:v>NFR-004</x:v>
      </x:c>
      <x:c r="C35" s="9" t="str">
        <x:v>Must</x:v>
      </x:c>
      <x:c r="D35" s="9" t="str">
        <x:v>AC-N004</x:v>
      </x:c>
      <x:c r="E35" s="9" t="str">
        <x:v>Must</x:v>
      </x:c>
      <x:c r="F35" s="9" t="str">
        <x:v>An automated test matrix covering every role against every restricted operation reports zero unauthorised successes.</x:v>
      </x:c>
      <x:c r="G35" s="9" t="str">
        <x:v>TR/requirement correct; requirement and AC text exact</x:v>
      </x:c>
      <x:c r="H35" s="9" t="str">
        <x:v>TST-011; TST-025</x:v>
      </x:c>
      <x:c r="I35" s="14" t="b">
        <x:v>1</x:v>
      </x:c>
      <x:c r="J35" s="9" t="str">
        <x:v>TST-008,011,015,018,023,025; QA-P07</x:v>
      </x:c>
      <x:c r="K35" s="9" t="str">
        <x:v>Partial role checks in src/app.js; full role x operation matrix not implemented</x:v>
      </x:c>
      <x:c r="L35" s="9" t="str">
        <x:v>Subset guards exist. Credential-valued IDs permit impersonation; admin permissions lack approved matrix.</x:v>
      </x:c>
      <x:c r="M35" s="9" t="str">
        <x:v>FAILED</x:v>
      </x:c>
      <x:c r="N35" s="9" t="str">
        <x:v>https://github.com/Don-Sanvura/Civic-connect/actions/runs/38238109916; local suite and QA probes; only linked assertions proven</x:v>
      </x:c>
      <x:c r="O35" s="9" t="str">
        <x:v>DEC-008 Deferred; ADR-013 Proposed. No approved detailed design located.</x:v>
      </x:c>
      <x:c r="P35" s="9" t="str">
        <x:v>NOT READY recommendation; no sign-off</x:v>
      </x:c>
      <x:c r="Q35" s="9" t="str">
        <x:v>f874f5cba35cb326c7a3aabeaa0e183f4eedb4b4</x:v>
      </x:c>
    </x:row>
    <x:row r="36" ht="84" customHeight="1">
      <x:c r="A36" s="10" t="str">
        <x:v>TR-018</x:v>
      </x:c>
      <x:c r="B36" s="10" t="str">
        <x:v>NFR-005</x:v>
      </x:c>
      <x:c r="C36" s="10" t="str">
        <x:v>Must</x:v>
      </x:c>
      <x:c r="D36" s="10" t="str">
        <x:v>AC-N005</x:v>
      </x:c>
      <x:c r="E36" s="10" t="str">
        <x:v>Must</x:v>
      </x:c>
      <x:c r="F36" s="10" t="str">
        <x:v>An automated secret scan on every pull request and a full-history scan both report zero findings.</x:v>
      </x:c>
      <x:c r="G36" s="10" t="str">
        <x:v>TR/requirement correct; requirement and AC text exact</x:v>
      </x:c>
      <x:c r="H36" s="10" t="str">
        <x:v>Secret scan workflow (not a functional test)</x:v>
      </x:c>
      <x:c r="I36" s="15" t="b">
        <x:v>1</x:v>
      </x:c>
      <x:c r="J36" s="10" t="str">
        <x:v>CI main scan passes; log range is --no-merges --first-parent and 0 commits scanned</x:v>
      </x:c>
      <x:c r="K36" s="10" t="str">
        <x:v>NOT IMPLEMENTED IN CURRENT VERTICAL SLICE; requires implementation and verification</x:v>
      </x:c>
      <x:c r="L36" s="10" t="str">
        <x:v>PR/push scans configured; known functional demo tokens are tracked. Main Gitleaks log says 0 commits scanned.</x:v>
      </x:c>
      <x:c r="M36" s="10" t="str">
        <x:v>FAILED / EVIDENCE GAP</x:v>
      </x:c>
      <x:c r="N36" s="10" t="str">
        <x:v>https://github.com/Don-Sanvura/Civic-connect/actions/runs/38238109916; local suite and QA probes; only linked assertions proven</x:v>
      </x:c>
      <x:c r="O36" s="10" t="str">
        <x:v>DEC-008 Deferred; ADR-013 Proposed. No approved detailed design located.</x:v>
      </x:c>
      <x:c r="P36" s="10" t="str">
        <x:v>NOT READY recommendation; no sign-off</x:v>
      </x:c>
      <x:c r="Q36" s="10" t="str">
        <x:v>f874f5cba35cb326c7a3aabeaa0e183f4eedb4b4</x:v>
      </x:c>
    </x:row>
    <x:row r="37" ht="84" customHeight="1">
      <x:c r="A37" s="9" t="str">
        <x:v>TR-008</x:v>
      </x:c>
      <x:c r="B37" s="9" t="str">
        <x:v>NFR-006</x:v>
      </x:c>
      <x:c r="C37" s="9" t="str">
        <x:v>Must</x:v>
      </x:c>
      <x:c r="D37" s="9" t="str">
        <x:v>AC-N006</x:v>
      </x:c>
      <x:c r="E37" s="9" t="str">
        <x:v>Must</x:v>
      </x:c>
      <x:c r="F37" s="9" t="str">
        <x:v>For a scripted sequence of k changes, the audit record contains exactly k entries with all four fields populated, and no application endpoint accepts an update or delete against an audit entry.</x:v>
      </x:c>
      <x:c r="G37" s="9" t="str">
        <x:v>TR/requirement correct; requirement and AC text exact</x:v>
      </x:c>
      <x:c r="H37" s="9" t="str">
        <x:v>TST-019; TST-022</x:v>
      </x:c>
      <x:c r="I37" s="14" t="b">
        <x:v>1</x:v>
      </x:c>
      <x:c r="J37" s="9" t="str">
        <x:v>TST-019,022,028; QA-P01,P02,P09</x:v>
      </x:c>
      <x:c r="K37" s="9" t="str">
        <x:v>Partial in-memory audit stores actor/time/previous/new values; durable immutable store not implemented</x:v>
      </x:c>
      <x:c r="L37" s="9" t="str">
        <x:v>In-memory append-only API surface but incomplete integrity and actor-secret exposure.</x:v>
      </x:c>
      <x:c r="M37" s="9" t="str">
        <x:v>FAILED</x:v>
      </x:c>
      <x:c r="N37" s="9" t="str">
        <x:v>https://github.com/Don-Sanvura/Civic-connect/actions/runs/38238109916; local suite and QA probes; only linked assertions proven</x:v>
      </x:c>
      <x:c r="O37" s="9" t="str">
        <x:v>DEC-008 Deferred; ADR-013 Proposed. No approved detailed design located.</x:v>
      </x:c>
      <x:c r="P37" s="9" t="str">
        <x:v>NOT READY recommendation; no sign-off</x:v>
      </x:c>
      <x:c r="Q37" s="9" t="str">
        <x:v>f874f5cba35cb326c7a3aabeaa0e183f4eedb4b4</x:v>
      </x:c>
    </x:row>
    <x:row r="38" ht="84" customHeight="1">
      <x:c r="A38" s="10" t="str">
        <x:v>TR-035</x:v>
      </x:c>
      <x:c r="B38" s="10" t="str">
        <x:v>NFR-007</x:v>
      </x:c>
      <x:c r="C38" s="10" t="str">
        <x:v>Should</x:v>
      </x:c>
      <x:c r="D38" s="10" t="str">
        <x:v>AC-N007</x:v>
      </x:c>
      <x:c r="E38" s="10" t="str">
        <x:v>Should</x:v>
      </x:c>
      <x:c r="F38" s="10" t="str">
        <x:v>In a moderated test with 5 representative participants, at least 4 complete a valid submission unaided within 3 minutes.</x:v>
      </x:c>
      <x:c r="G38" s="10" t="str">
        <x:v>TR/requirement correct; requirement and AC text exact</x:v>
      </x:c>
      <x:c r="H38" s="10" t="str">
        <x:v>NOT COVERED BY CURRENT TEST SUITE</x:v>
      </x:c>
      <x:c r="I38" s="15" t="b">
        <x:v>1</x:v>
      </x:c>
      <x:c r="J38" s="10" t="str">
        <x:v>TST-026 only checks HTML text</x:v>
      </x:c>
      <x:c r="K38" s="10" t="str">
        <x:v>NOT IMPLEMENTED IN CURRENT VERTICAL SLICE; requires implementation and verification</x:v>
      </x:c>
      <x:c r="L38" s="10" t="str">
        <x:v>One-screen form exists; no participant study.</x:v>
      </x:c>
      <x:c r="M38" s="10" t="str">
        <x:v>AWAITING EVIDENCE</x:v>
      </x:c>
      <x:c r="N38" s="10" t="str">
        <x:v>https://github.com/Don-Sanvura/Civic-connect/actions/runs/38238109916; local suite and QA probes; only linked assertions proven</x:v>
      </x:c>
      <x:c r="O38" s="10" t="str">
        <x:v>DEC-008 Deferred; ADR-013 Proposed. No approved detailed design located.</x:v>
      </x:c>
      <x:c r="P38" s="10" t="str">
        <x:v>NOT READY recommendation; no sign-off</x:v>
      </x:c>
      <x:c r="Q38" s="10" t="str">
        <x:v>f874f5cba35cb326c7a3aabeaa0e183f4eedb4b4</x:v>
      </x:c>
    </x:row>
    <x:row r="39" ht="84" customHeight="1">
      <x:c r="A39" s="9" t="str">
        <x:v>TR-036</x:v>
      </x:c>
      <x:c r="B39" s="9" t="str">
        <x:v>NFR-008</x:v>
      </x:c>
      <x:c r="C39" s="9" t="str">
        <x:v>Should</x:v>
      </x:c>
      <x:c r="D39" s="9" t="str">
        <x:v>AC-N008</x:v>
      </x:c>
      <x:c r="E39" s="9" t="str">
        <x:v>Should</x:v>
      </x:c>
      <x:c r="F39" s="9" t="str">
        <x:v>An automated accessibility check reports zero contrast or missing-label violations on the submission and request-detail screens, and the submission flow is completed using keyboard input only.</x:v>
      </x:c>
      <x:c r="G39" s="9" t="str">
        <x:v>TR/requirement correct; requirement and AC text exact</x:v>
      </x:c>
      <x:c r="H39" s="9" t="str">
        <x:v>NOT COVERED BY CURRENT TEST SUITE</x:v>
      </x:c>
      <x:c r="I39" s="14" t="b">
        <x:v>1</x:v>
      </x:c>
      <x:c r="J39" s="9" t="str">
        <x:v>TST-026 is route/string smoke only</x:v>
      </x:c>
      <x:c r="K39" s="9" t="str">
        <x:v>NOT IMPLEMENTED IN CURRENT VERTICAL SLICE; requires implementation and verification</x:v>
      </x:c>
      <x:c r="L39" s="9" t="str">
        <x:v>Labels, aria-live and focus style exist; no request-detail screen.</x:v>
      </x:c>
      <x:c r="M39" s="9" t="str">
        <x:v>PARTIAL</x:v>
      </x:c>
      <x:c r="N39" s="9" t="str">
        <x:v>https://github.com/Don-Sanvura/Civic-connect/actions/runs/38238109916; local suite and QA probes; only linked assertions proven</x:v>
      </x:c>
      <x:c r="O39" s="9" t="str">
        <x:v>DEC-008 Deferred; ADR-013 Proposed. No approved detailed design located.</x:v>
      </x:c>
      <x:c r="P39" s="9" t="str">
        <x:v>NOT READY recommendation; no sign-off</x:v>
      </x:c>
      <x:c r="Q39" s="9" t="str">
        <x:v>f874f5cba35cb326c7a3aabeaa0e183f4eedb4b4</x:v>
      </x:c>
    </x:row>
    <x:row r="40" ht="84" customHeight="1">
      <x:c r="A40" s="10" t="str">
        <x:v>TR-037</x:v>
      </x:c>
      <x:c r="B40" s="10" t="str">
        <x:v>NFR-009</x:v>
      </x:c>
      <x:c r="C40" s="10" t="str">
        <x:v>Should</x:v>
      </x:c>
      <x:c r="D40" s="10" t="str">
        <x:v>AC-N009</x:v>
      </x:c>
      <x:c r="E40" s="10" t="str">
        <x:v>Should</x:v>
      </x:c>
      <x:c r="F40" s="10" t="str">
        <x:v>The pipeline coverage report shows 70% or more line coverage for the business/service layer and the static-analysis stage reports zero critical findings.</x:v>
      </x:c>
      <x:c r="G40" s="10" t="str">
        <x:v>TR/requirement correct; requirement and AC text exact</x:v>
      </x:c>
      <x:c r="H40" s="10" t="str">
        <x:v>NOT COVERED BY CURRENT TEST SUITE</x:v>
      </x:c>
      <x:c r="I40" s="15" t="b">
        <x:v>1</x:v>
      </x:c>
      <x:c r="J40" s="10" t="str">
        <x:v>Local Node24 app.js line97.78%, branch71.76%; CodeQL job success</x:v>
      </x:c>
      <x:c r="K40" s="10" t="str">
        <x:v>NOT IMPLEMENTED IN CURRENT VERTICAL SLICE; requires implementation and verification</x:v>
      </x:c>
      <x:c r="L40" s="10" t="str">
        <x:v>CI syntax tests and CodeQL run. No CI coverage collection or critical-finding gate.</x:v>
      </x:c>
      <x:c r="M40" s="10" t="str">
        <x:v>PARTIAL</x:v>
      </x:c>
      <x:c r="N40" s="10" t="str">
        <x:v>https://github.com/Don-Sanvura/Civic-connect/actions/runs/38238109916; local suite and QA probes; only linked assertions proven</x:v>
      </x:c>
      <x:c r="O40" s="10" t="str">
        <x:v>DEC-008 Deferred; ADR-013 Proposed. No approved detailed design located.</x:v>
      </x:c>
      <x:c r="P40" s="10" t="str">
        <x:v>NOT READY recommendation; no sign-off</x:v>
      </x:c>
      <x:c r="Q40" s="10" t="str">
        <x:v>f874f5cba35cb326c7a3aabeaa0e183f4eedb4b4</x:v>
      </x:c>
    </x:row>
    <x:row r="41" ht="84" customHeight="1">
      <x:c r="A41" s="9" t="str">
        <x:v>TR-019</x:v>
      </x:c>
      <x:c r="B41" s="9" t="str">
        <x:v>NFR-010</x:v>
      </x:c>
      <x:c r="C41" s="9" t="str">
        <x:v>Must</x:v>
      </x:c>
      <x:c r="D41" s="9" t="str">
        <x:v>AC-N010</x:v>
      </x:c>
      <x:c r="E41" s="9" t="str">
        <x:v>Must</x:v>
      </x:c>
      <x:c r="F41" s="9" t="str">
        <x:v>A platform cost review lists every service in use, its free-tier limit, current consumption against that limit, and a costed projection at the stated volume.</x:v>
      </x:c>
      <x:c r="G41" s="9" t="str">
        <x:v>TR/requirement correct; requirement and AC text exact</x:v>
      </x:c>
      <x:c r="H41" s="9" t="str">
        <x:v>NOT COVERED BY CURRENT TEST SUITE</x:v>
      </x:c>
      <x:c r="I41" s="14" t="b">
        <x:v>1</x:v>
      </x:c>
      <x:c r="J41" s="9" t="str">
        <x:v>None</x:v>
      </x:c>
      <x:c r="K41" s="9" t="str">
        <x:v>NOT IMPLEMENTED IN CURRENT VERTICAL SLICE; requires implementation and verification</x:v>
      </x:c>
      <x:c r="L41" s="9" t="str">
        <x:v>No approved hosting/services selection or cost review. Zero runtime dependencies do not prove R0 operating cost.</x:v>
      </x:c>
      <x:c r="M41" s="9" t="str">
        <x:v>AWAITING EVIDENCE</x:v>
      </x:c>
      <x:c r="N41" s="9" t="str">
        <x:v>https://github.com/Don-Sanvura/Civic-connect/actions/runs/38238109916; local suite and QA probes; only linked assertions proven</x:v>
      </x:c>
      <x:c r="O41" s="9" t="str">
        <x:v>DEC-008 Deferred; ADR-013 Proposed. No approved detailed design located.</x:v>
      </x:c>
      <x:c r="P41" s="9" t="str">
        <x:v>NOT READY recommendation; no sign-off</x:v>
      </x:c>
      <x:c r="Q41" s="9" t="str">
        <x:v>f874f5cba35cb326c7a3aabeaa0e183f4eedb4b4</x:v>
      </x:c>
    </x:row>
    <x:row r="42" ht="84" customHeight="1">
      <x:c r="A42" s="10" t="str">
        <x:v>TR-038</x:v>
      </x:c>
      <x:c r="B42" s="10" t="str">
        <x:v>NFR-011</x:v>
      </x:c>
      <x:c r="C42" s="10" t="str">
        <x:v>Should</x:v>
      </x:c>
      <x:c r="D42" s="10" t="str">
        <x:v>AC-N011</x:v>
      </x:c>
      <x:c r="E42" s="10" t="str">
        <x:v>Should</x:v>
      </x:c>
      <x:c r="F42" s="10" t="str">
        <x:v>A backup schedule is evidenced, and a restore into a clean environment is performed and timed, producing a data set matching the source at the backup point within the stated RTO.</x:v>
      </x:c>
      <x:c r="G42" s="10" t="str">
        <x:v>TR/requirement correct; requirement and AC text exact</x:v>
      </x:c>
      <x:c r="H42" s="10" t="str">
        <x:v>NOT COVERED BY CURRENT TEST SUITE</x:v>
      </x:c>
      <x:c r="I42" s="15" t="b">
        <x:v>1</x:v>
      </x:c>
      <x:c r="J42" s="10" t="str">
        <x:v>QA-P10: 2 records before, 0 after new instance</x:v>
      </x:c>
      <x:c r="K42" s="10" t="str">
        <x:v>NOT IMPLEMENTED IN CURRENT VERTICAL SLICE; requires implementation and verification</x:v>
      </x:c>
      <x:c r="L42" s="10" t="str">
        <x:v>Request/audit Maps lost on new service/process. No backup scheduler or restore procedure.</x:v>
      </x:c>
      <x:c r="M42" s="10" t="str">
        <x:v>FAILED</x:v>
      </x:c>
      <x:c r="N42" s="10" t="str">
        <x:v>https://github.com/Don-Sanvura/Civic-connect/actions/runs/38238109916; local suite and QA probes; only linked assertions proven</x:v>
      </x:c>
      <x:c r="O42" s="10" t="str">
        <x:v>DEC-008 Deferred; ADR-013 Proposed. No approved detailed design located.</x:v>
      </x:c>
      <x:c r="P42" s="10" t="str">
        <x:v>NOT READY recommendation; no sign-off</x:v>
      </x:c>
      <x:c r="Q42" s="10" t="str">
        <x:v>f874f5cba35cb326c7a3aabeaa0e183f4eedb4b4</x:v>
      </x:c>
    </x:row>
    <x:row r="43" ht="84" customHeight="1">
      <x:c r="A43" s="9" t="str">
        <x:v>TR-015</x:v>
      </x:c>
      <x:c r="B43" s="9" t="str">
        <x:v>NFR-012</x:v>
      </x:c>
      <x:c r="C43" s="9" t="str">
        <x:v>Must</x:v>
      </x:c>
      <x:c r="D43" s="9" t="str">
        <x:v>AC-N012</x:v>
      </x:c>
      <x:c r="E43" s="9" t="str">
        <x:v>Must</x:v>
      </x:c>
      <x:c r="F43" s="9" t="str">
        <x:v>Negative-access tests confirm that a Requester and an unassigned Staff user cannot retrieve another requester's contact details through any interface, including direct record access.</x:v>
      </x:c>
      <x:c r="G43" s="9" t="str">
        <x:v>TR/requirement correct; requirement and AC text exact</x:v>
      </x:c>
      <x:c r="H43" s="9" t="str">
        <x:v>NOT COVERED BY CURRENT TEST SUITE</x:v>
      </x:c>
      <x:c r="I43" s="14" t="b">
        <x:v>1</x:v>
      </x:c>
      <x:c r="J43" s="9" t="str">
        <x:v>TST-018 unrelated to actual contact fields; QA-P07</x:v>
      </x:c>
      <x:c r="K43" s="9" t="str">
        <x:v>NOT IMPLEMENTED IN CURRENT VERTICAL SLICE; requires implementation and verification</x:v>
      </x:c>
      <x:c r="L43" s="9" t="str">
        <x:v>No email/phone schema; request ownership checks exist. History and assignee fields disclose bearer credentials.</x:v>
      </x:c>
      <x:c r="M43" s="9" t="str">
        <x:v>AWAITING EVIDENCE / SECURITY FAILURE</x:v>
      </x:c>
      <x:c r="N43" s="9" t="str">
        <x:v>https://github.com/Don-Sanvura/Civic-connect/actions/runs/38238109916; local suite and QA probes; only linked assertions proven</x:v>
      </x:c>
      <x:c r="O43" s="9" t="str">
        <x:v>DEC-008 Deferred; ADR-013 Proposed. No approved detailed design located.</x:v>
      </x:c>
      <x:c r="P43" s="9" t="str">
        <x:v>NOT READY recommendation; no sign-off</x:v>
      </x:c>
      <x:c r="Q43" s="9" t="str">
        <x:v>f874f5cba35cb326c7a3aabeaa0e183f4eedb4b4</x:v>
      </x:c>
    </x:row>
    <x:row r="44" ht="84" customHeight="1">
      <x:c r="A44" s="10" t="str">
        <x:v>TR-039</x:v>
      </x:c>
      <x:c r="B44" s="10" t="str">
        <x:v>NFR-013</x:v>
      </x:c>
      <x:c r="C44" s="10" t="str">
        <x:v>Should</x:v>
      </x:c>
      <x:c r="D44" s="10" t="str">
        <x:v>AC-N013</x:v>
      </x:c>
      <x:c r="E44" s="10" t="str">
        <x:v>Should</x:v>
      </x:c>
      <x:c r="F44" s="10" t="str">
        <x:v>With 500 users and 5 000 requests seeded, storage consumption remains inside the documented free-tier limit and the NFR-001 load test still passes.</x:v>
      </x:c>
      <x:c r="G44" s="10" t="str">
        <x:v>TR/requirement correct; requirement and AC text exact</x:v>
      </x:c>
      <x:c r="H44" s="10" t="str">
        <x:v>NOT COVERED BY CURRENT TEST SUITE</x:v>
      </x:c>
      <x:c r="I44" s="15" t="b">
        <x:v>1</x:v>
      </x:c>
      <x:c r="J44" s="10" t="str">
        <x:v>None</x:v>
      </x:c>
      <x:c r="K44" s="10" t="str">
        <x:v>NOT IMPLEMENTED IN CURRENT VERTICAL SLICE; requires implementation and verification</x:v>
      </x:c>
      <x:c r="L44" s="10" t="str">
        <x:v>No account persistence or storage-limit record. Current performance run is tiny and write-only.</x:v>
      </x:c>
      <x:c r="M44" s="10" t="str">
        <x:v>GAP</x:v>
      </x:c>
      <x:c r="N44" s="10" t="str">
        <x:v>https://github.com/Don-Sanvura/Civic-connect/actions/runs/38238109916; local suite and QA probes; only linked assertions proven</x:v>
      </x:c>
      <x:c r="O44" s="10" t="str">
        <x:v>DEC-008 Deferred; ADR-013 Proposed. No approved detailed design located.</x:v>
      </x:c>
      <x:c r="P44" s="10" t="str">
        <x:v>NOT READY recommendation; no sign-off</x:v>
      </x:c>
      <x:c r="Q44" s="10" t="str">
        <x:v>f874f5cba35cb326c7a3aabeaa0e183f4eedb4b4</x:v>
      </x:c>
    </x:row>
    <x:row r="45" ht="84" customHeight="1">
      <x:c r="A45" s="9" t="str">
        <x:v>TR-040</x:v>
      </x:c>
      <x:c r="B45" s="9" t="str">
        <x:v>NFR-014</x:v>
      </x:c>
      <x:c r="C45" s="9" t="str">
        <x:v>Must</x:v>
      </x:c>
      <x:c r="D45" s="9" t="str">
        <x:v>AC-N014</x:v>
      </x:c>
      <x:c r="E45" s="9" t="str">
        <x:v>Must</x:v>
      </x:c>
      <x:c r="F45" s="9" t="str">
        <x:v>For each input field, a boundary and an invalid-type case are submitted with client-side validation bypassed; every case is rejected server-side with a field-level message and the retained form values are redisplayed.</x:v>
      </x:c>
      <x:c r="G45" s="9" t="str">
        <x:v>TR/requirement correct; requirement and AC text exact</x:v>
      </x:c>
      <x:c r="H45" s="9" t="str">
        <x:v>TST-002; TST-003; TST-004; TST-005; TST-006; TST-007</x:v>
      </x:c>
      <x:c r="I45" s="14" t="b">
        <x:v>1</x:v>
      </x:c>
      <x:c r="J45" s="9" t="str">
        <x:v>TST-002..007,021; QA-P01</x:v>
      </x:c>
      <x:c r="K45" s="9" t="str">
        <x:v>Partial field validation; not all input fields and retained form-value behaviour apply to API-only prototype</x:v>
      </x:c>
      <x:c r="L45" s="9" t="str">
        <x:v>Request fields checked server-side; notes/reasons/unknown keys/types/body variants incompletely constrained; general form error.</x:v>
      </x:c>
      <x:c r="M45" s="9" t="str">
        <x:v>PARTIAL</x:v>
      </x:c>
      <x:c r="N45" s="9" t="str">
        <x:v>https://github.com/Don-Sanvura/Civic-connect/actions/runs/38238109916; local suite and QA probes; only linked assertions proven</x:v>
      </x:c>
      <x:c r="O45" s="9" t="str">
        <x:v>DEC-008 Deferred; ADR-013 Proposed. No approved detailed design located.</x:v>
      </x:c>
      <x:c r="P45" s="9" t="str">
        <x:v>NOT READY recommendation; no sign-off</x:v>
      </x:c>
      <x:c r="Q45" s="9" t="str">
        <x:v>f874f5cba35cb326c7a3aabeaa0e183f4eedb4b4</x:v>
      </x:c>
    </x:row>
  </x:sheetData>
  <x:conditionalFormatting sqref="M6:M45">
    <x:cfRule type="containsText" dxfId="2" priority="1" operator="containsText" text="FAILED"/>
    <x:cfRule type="containsText" dxfId="3" priority="2" operator="containsText" text="GAP"/>
  </x:conditionalFormatting>
  <x:pageMargins left="0.7" right="0.7" top="0.75" bottom="0.75" header="0.3" footer="0.3"/>
  <x:tableParts count="1">
    <x:tablePart xmlns:r="http://schemas.openxmlformats.org/officeDocument/2006/relationships" r:id="Rc5e52023d2964d8a"/>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32" hidden="0" customWidth="1"/>
    <x:col min="3" max="3" width="55" hidden="0" customWidth="1"/>
    <x:col min="4" max="4" width="32" hidden="0" customWidth="1"/>
    <x:col min="5" max="5" width="32" hidden="0" customWidth="1"/>
    <x:col min="6" max="6" width="68" hidden="0" customWidth="1"/>
    <x:col min="7" max="7" width="55" hidden="0" customWidth="1"/>
    <x:col min="8" max="8" width="68" hidden="0" customWidth="1"/>
    <x:col min="9" max="9" width="55" hidden="0" customWidth="1"/>
    <x:col min="10" max="10" width="68" hidden="0" customWidth="1"/>
    <x:col min="11" max="11" width="55" hidden="0" customWidth="1"/>
    <x:col min="12" max="12" width="56" hidden="0" customWidth="1"/>
  </x:cols>
  <x:sheetData>
    <x:row r="2">
      <x:c r="A2" s="1" t="str">
        <x:v>28-test audit</x:v>
      </x:c>
    </x:row>
    <x:row r="3">
      <x:c r="A3" t="str">
        <x:v>Reviewed main f874f5cba35cb326c7a3aabeaa0e183f4eedb4b4 | 17 October 2026 SAST | Recommendations; no repository edits or human signoff</x:v>
      </x:c>
    </x:row>
    <x:row r="5" ht="36" customHeight="1">
      <x:c r="A5" s="8" t="str">
        <x:v>TST ID</x:v>
      </x:c>
      <x:c r="B5" s="8" t="str">
        <x:v>Actual test title</x:v>
      </x:c>
      <x:c r="C5" s="8" t="str">
        <x:v>Related requirements</x:v>
      </x:c>
      <x:c r="D5" s="8" t="str">
        <x:v>AC IDs</x:v>
      </x:c>
      <x:c r="E5" s="8" t="str">
        <x:v>Test classification</x:v>
      </x:c>
      <x:c r="F5" s="8" t="str">
        <x:v>Input/setup</x:v>
      </x:c>
      <x:c r="G5" s="8" t="str">
        <x:v>Expected result</x:v>
      </x:c>
      <x:c r="H5" s="8" t="str">
        <x:v>Assertions actually present</x:v>
      </x:c>
      <x:c r="I5" s="8" t="str">
        <x:v>What it proves</x:v>
      </x:c>
      <x:c r="J5" s="8" t="str">
        <x:v>What remains untested</x:v>
      </x:c>
      <x:c r="K5" s="8" t="str">
        <x:v>Executed result</x:v>
      </x:c>
      <x:c r="L5" s="8" t="str">
        <x:v>Source URL</x:v>
      </x:c>
    </x:row>
    <x:row r="6" ht="56" customHeight="1">
      <x:c r="A6" s="10" t="str">
        <x:v>TST-001</x:v>
      </x:c>
      <x:c r="B6" s="10" t="str">
        <x:v>TST-001 [FR-005] valid request is stored as New with unique reference and location</x:v>
      </x:c>
      <x:c r="C6" s="10" t="str">
        <x:v>FR-005</x:v>
      </x:c>
      <x:c r="D6" s="10" t="str">
        <x:v>AC-005</x:v>
      </x:c>
      <x:c r="E6" s="10" t="str">
        <x:v>Unit/service; valid equivalence partition</x:v>
      </x:c>
      <x:c r="F6" s="10" t="str">
        <x:v>Requester req-A; valid Roads/library body</x:v>
      </x:c>
      <x:c r="G6" s="10" t="str">
        <x:v>New request returned</x:v>
      </x:c>
      <x:c r="H6" s="10" t="str">
        <x:v>status New; location equals input; id truthy</x:v>
      </x:c>
      <x:c r="I6" s="10" t="str">
        <x:v>Valid service return for one request</x:v>
      </x:c>
      <x:c r="J6" s="10" t="str">
        <x:v>No uniqueness, requester, timestamp, stored readback, durable store or browser assertion</x:v>
      </x:c>
      <x:c r="K6" s="10" t="str">
        <x:v>PASS local Node24 and GitHub Node22</x:v>
      </x:c>
      <x:c r="L6" s="10" t="str">
        <x:v>https://github.com/Don-Sanvura/Civic-connect/blob/f874f5cba35cb326c7a3aabeaa0e183f4eedb4b4/tests/civicconnect.test.js#L40</x:v>
      </x:c>
    </x:row>
    <x:row r="7" ht="56" customHeight="1">
      <x:c r="A7" s="9" t="str">
        <x:v>TST-002</x:v>
      </x:c>
      <x:c r="B7" s="9" t="str">
        <x:v>TST-002 [NFR-014] title below lower boundary is rejected</x:v>
      </x:c>
      <x:c r="C7" s="9" t="str">
        <x:v>NFR-014</x:v>
      </x:c>
      <x:c r="D7" s="9" t="str">
        <x:v>AC-N014</x:v>
      </x:c>
      <x:c r="E7" s="9" t="str">
        <x:v>Unit/service; lower boundary</x:v>
      </x:c>
      <x:c r="F7" s="9" t="str">
        <x:v>title ab (2 chars)</x:v>
      </x:c>
      <x:c r="G7" s="9" t="str">
        <x:v>400 INVALID_TITLE</x:v>
      </x:c>
      <x:c r="H7" s="9" t="str">
        <x:v>throws HttpError with status400/code</x:v>
      </x:c>
      <x:c r="I7" s="9" t="str">
        <x:v>Below-minimum title rejected</x:v>
      </x:c>
      <x:c r="J7" s="9" t="str">
        <x:v>Title3/empty/type, field-level UI and retained data absent</x:v>
      </x:c>
      <x:c r="K7" s="9" t="str">
        <x:v>PASS local Node24 and GitHub Node22</x:v>
      </x:c>
      <x:c r="L7" s="9" t="str">
        <x:v>https://github.com/Don-Sanvura/Civic-connect/blob/f874f5cba35cb326c7a3aabeaa0e183f4eedb4b4/tests/civicconnect.test.js#L44</x:v>
      </x:c>
    </x:row>
    <x:row r="8" ht="56" customHeight="1">
      <x:c r="A8" s="10" t="str">
        <x:v>TST-003</x:v>
      </x:c>
      <x:c r="B8" s="10" t="str">
        <x:v>TST-003 [NFR-014] title at 120 characters is accepted</x:v>
      </x:c>
      <x:c r="C8" s="10" t="str">
        <x:v>NFR-014</x:v>
      </x:c>
      <x:c r="D8" s="10" t="str">
        <x:v>AC-N014</x:v>
      </x:c>
      <x:c r="E8" s="10" t="str">
        <x:v>Unit/service; upper boundary</x:v>
      </x:c>
      <x:c r="F8" s="10" t="str">
        <x:v>title length120</x:v>
      </x:c>
      <x:c r="G8" s="10" t="str">
        <x:v>Accepted at upper limit</x:v>
      </x:c>
      <x:c r="H8" s="10" t="str">
        <x:v>returned title.length120</x:v>
      </x:c>
      <x:c r="I8" s="10" t="str">
        <x:v>120 accepted</x:v>
      </x:c>
      <x:c r="J8" s="10" t="str">
        <x:v>Lower boundary3 and readback absent</x:v>
      </x:c>
      <x:c r="K8" s="10" t="str">
        <x:v>PASS local Node24 and GitHub Node22</x:v>
      </x:c>
      <x:c r="L8" s="10" t="str">
        <x:v>https://github.com/Don-Sanvura/Civic-connect/blob/f874f5cba35cb326c7a3aabeaa0e183f4eedb4b4/tests/civicconnect.test.js#L45</x:v>
      </x:c>
    </x:row>
    <x:row r="9" ht="56" customHeight="1">
      <x:c r="A9" s="9" t="str">
        <x:v>TST-004</x:v>
      </x:c>
      <x:c r="B9" s="9" t="str">
        <x:v>TST-004 [NFR-014] title above 120 characters is rejected</x:v>
      </x:c>
      <x:c r="C9" s="9" t="str">
        <x:v>NFR-014</x:v>
      </x:c>
      <x:c r="D9" s="9" t="str">
        <x:v>AC-N014</x:v>
      </x:c>
      <x:c r="E9" s="9" t="str">
        <x:v>Unit/service; upper boundary</x:v>
      </x:c>
      <x:c r="F9" s="9" t="str">
        <x:v>title length121</x:v>
      </x:c>
      <x:c r="G9" s="9" t="str">
        <x:v>400 INVALID_TITLE</x:v>
      </x:c>
      <x:c r="H9" s="9" t="str">
        <x:v>throws status400/code</x:v>
      </x:c>
      <x:c r="I9" s="9" t="str">
        <x:v>121 rejected</x:v>
      </x:c>
      <x:c r="J9" s="9" t="str">
        <x:v>Non-string, Unicode length semantics and no-change absent</x:v>
      </x:c>
      <x:c r="K9" s="9" t="str">
        <x:v>PASS local Node24 and GitHub Node22</x:v>
      </x:c>
      <x:c r="L9" s="9" t="str">
        <x:v>https://github.com/Don-Sanvura/Civic-connect/blob/f874f5cba35cb326c7a3aabeaa0e183f4eedb4b4/tests/civicconnect.test.js#L46</x:v>
      </x:c>
    </x:row>
    <x:row r="10" ht="56" customHeight="1">
      <x:c r="A10" s="10" t="str">
        <x:v>TST-005</x:v>
      </x:c>
      <x:c r="B10" s="10" t="str">
        <x:v>TST-005 [NFR-014] short description is rejected</x:v>
      </x:c>
      <x:c r="C10" s="10" t="str">
        <x:v>NFR-014</x:v>
      </x:c>
      <x:c r="D10" s="10" t="str">
        <x:v>AC-N014</x:v>
      </x:c>
      <x:c r="E10" s="10" t="str">
        <x:v>Unit/service; invalid partition</x:v>
      </x:c>
      <x:c r="F10" s="10" t="str">
        <x:v>description too short (9 chars)</x:v>
      </x:c>
      <x:c r="G10" s="10" t="str">
        <x:v>400 INVALID_DESCRIPTION</x:v>
      </x:c>
      <x:c r="H10" s="10" t="str">
        <x:v>throws status400/code</x:v>
      </x:c>
      <x:c r="I10" s="10" t="str">
        <x:v>Short description rejected</x:v>
      </x:c>
      <x:c r="J10" s="10" t="str">
        <x:v>10/2000/2001 and invalid types absent</x:v>
      </x:c>
      <x:c r="K10" s="10" t="str">
        <x:v>PASS local Node24 and GitHub Node22</x:v>
      </x:c>
      <x:c r="L10" s="10" t="str">
        <x:v>https://github.com/Don-Sanvura/Civic-connect/blob/f874f5cba35cb326c7a3aabeaa0e183f4eedb4b4/tests/civicconnect.test.js#L47</x:v>
      </x:c>
    </x:row>
    <x:row r="11" ht="56" customHeight="1">
      <x:c r="A11" s="9" t="str">
        <x:v>TST-006</x:v>
      </x:c>
      <x:c r="B11" s="9" t="str">
        <x:v>TST-006 [FR-005] missing location is rejected</x:v>
      </x:c>
      <x:c r="C11" s="9" t="str">
        <x:v>FR-005; NFR-014</x:v>
      </x:c>
      <x:c r="D11" s="9" t="str">
        <x:v>AC-005; AC-N014</x:v>
      </x:c>
      <x:c r="E11" s="9" t="str">
        <x:v>Unit/service; missing-field partition</x:v>
      </x:c>
      <x:c r="F11" s="9" t="str">
        <x:v>location empty string</x:v>
      </x:c>
      <x:c r="G11" s="9" t="str">
        <x:v>400 INVALID_LOCATION</x:v>
      </x:c>
      <x:c r="H11" s="9" t="str">
        <x:v>throws status400/code</x:v>
      </x:c>
      <x:c r="I11" s="9" t="str">
        <x:v>Missing location rejected</x:v>
      </x:c>
      <x:c r="J11" s="9" t="str">
        <x:v>1/300/301, null/types, field error/retention absent</x:v>
      </x:c>
      <x:c r="K11" s="9" t="str">
        <x:v>PASS local Node24 and GitHub Node22</x:v>
      </x:c>
      <x:c r="L11" s="9" t="str">
        <x:v>https://github.com/Don-Sanvura/Civic-connect/blob/f874f5cba35cb326c7a3aabeaa0e183f4eedb4b4/tests/civicconnect.test.js#L48</x:v>
      </x:c>
    </x:row>
    <x:row r="12" ht="56" customHeight="1">
      <x:c r="A12" s="10" t="str">
        <x:v>TST-007</x:v>
      </x:c>
      <x:c r="B12" s="10" t="str">
        <x:v>TST-007 [FR-006] free-text category is rejected</x:v>
      </x:c>
      <x:c r="C12" s="10" t="str">
        <x:v>FR-006; NFR-014</x:v>
      </x:c>
      <x:c r="D12" s="10" t="str">
        <x:v>AC-006; AC-N014</x:v>
      </x:c>
      <x:c r="E12" s="10" t="str">
        <x:v>Unit/service; invalid category partition</x:v>
      </x:c>
      <x:c r="F12" s="10" t="str">
        <x:v>Made up category</x:v>
      </x:c>
      <x:c r="G12" s="10" t="str">
        <x:v>400 INVALID_CATEGORY</x:v>
      </x:c>
      <x:c r="H12" s="10" t="str">
        <x:v>throws status400/code</x:v>
      </x:c>
      <x:c r="I12" s="10" t="str">
        <x:v>Unlisted name rejected</x:v>
      </x:c>
      <x:c r="J12" s="10" t="str">
        <x:v>Empty, inactive, case, types and browser list equality absent</x:v>
      </x:c>
      <x:c r="K12" s="10" t="str">
        <x:v>PASS local Node24 and GitHub Node22</x:v>
      </x:c>
      <x:c r="L12" s="10" t="str">
        <x:v>https://github.com/Don-Sanvura/Civic-connect/blob/f874f5cba35cb326c7a3aabeaa0e183f4eedb4b4/tests/civicconnect.test.js#L49</x:v>
      </x:c>
    </x:row>
    <x:row r="13" ht="56" customHeight="1">
      <x:c r="A13" s="9" t="str">
        <x:v>TST-008</x:v>
      </x:c>
      <x:c r="B13" s="9" t="str">
        <x:v>TST-008 [FR-014] requester cannot assign a request</x:v>
      </x:c>
      <x:c r="C13" s="9" t="str">
        <x:v>FR-014; FR-003; NFR-004</x:v>
      </x:c>
      <x:c r="D13" s="9" t="str">
        <x:v>AC-014; AC-003; AC-N004</x:v>
      </x:c>
      <x:c r="E13" s="9" t="str">
        <x:v>Unit/service; role-operation negative</x:v>
      </x:c>
      <x:c r="F13" s="9" t="str">
        <x:v>Requester tries assignment</x:v>
      </x:c>
      <x:c r="G13" s="9" t="str">
        <x:v>403 FORBIDDEN</x:v>
      </x:c>
      <x:c r="H13" s="9" t="str">
        <x:v>throws status403/code</x:v>
      </x:c>
      <x:c r="I13" s="9" t="str">
        <x:v>Requester assignment denied</x:v>
      </x:c>
      <x:c r="J13" s="9" t="str">
        <x:v>Full state/audit unchanged and other role/operations absent</x:v>
      </x:c>
      <x:c r="K13" s="9" t="str">
        <x:v>PASS local Node24 and GitHub Node22</x:v>
      </x:c>
      <x:c r="L13" s="9" t="str">
        <x:v>https://github.com/Don-Sanvura/Civic-connect/blob/f874f5cba35cb326c7a3aabeaa0e183f4eedb4b4/tests/civicconnect.test.js#L50</x:v>
      </x:c>
    </x:row>
    <x:row r="14" ht="56" customHeight="1">
      <x:c r="A14" s="10" t="str">
        <x:v>TST-009</x:v>
      </x:c>
      <x:c r="B14" s="10" t="str">
        <x:v>TST-009 [FR-014] manager assignment records assignee and Accepted status</x:v>
      </x:c>
      <x:c r="C14" s="10" t="str">
        <x:v>FR-014</x:v>
      </x:c>
      <x:c r="D14" s="10" t="str">
        <x:v>AC-014</x:v>
      </x:c>
      <x:c r="E14" s="10" t="str">
        <x:v>Unit/service; positive assignment</x:v>
      </x:c>
      <x:c r="F14" s="10" t="str">
        <x:v>Manager assigns staff-A to New</x:v>
      </x:c>
      <x:c r="G14" s="10" t="str">
        <x:v>Accepted assigned to staff-A</x:v>
      </x:c>
      <x:c r="H14" s="10" t="str">
        <x:v>status Accepted; assigneeId staff-A</x:v>
      </x:c>
      <x:c r="I14" s="10" t="str">
        <x:v>Manager assignment return values</x:v>
      </x:c>
      <x:c r="J14" s="10" t="str">
        <x:v>Active Staff existence, prior/new audit and reassignment absent</x:v>
      </x:c>
      <x:c r="K14" s="10" t="str">
        <x:v>PASS local Node24 and GitHub Node22</x:v>
      </x:c>
      <x:c r="L14" s="10" t="str">
        <x:v>https://github.com/Don-Sanvura/Civic-connect/blob/f874f5cba35cb326c7a3aabeaa0e183f4eedb4b4/tests/civicconnect.test.js#L51</x:v>
      </x:c>
    </x:row>
    <x:row r="15" ht="56" customHeight="1">
      <x:c r="A15" s="9" t="str">
        <x:v>TST-010</x:v>
      </x:c>
      <x:c r="B15" s="9" t="str">
        <x:v>TST-010 [FR-014] staff can self-assign an unassigned New request</x:v>
      </x:c>
      <x:c r="C15" s="9" t="str">
        <x:v>FR-014</x:v>
      </x:c>
      <x:c r="D15" s="9" t="str">
        <x:v>AC-014</x:v>
      </x:c>
      <x:c r="E15" s="9" t="str">
        <x:v>Unit/service; self-assignment</x:v>
      </x:c>
      <x:c r="F15" s="9" t="str">
        <x:v>Staff-A accepts unassigned New</x:v>
      </x:c>
      <x:c r="G15" s="9" t="str">
        <x:v>Staff-A is assignee, Accepted</x:v>
      </x:c>
      <x:c r="H15" s="9" t="str">
        <x:v>assigneeId staff-A; status Accepted</x:v>
      </x:c>
      <x:c r="I15" s="9" t="str">
        <x:v>Positive self-assignment</x:v>
      </x:c>
      <x:c r="J15" s="9" t="str">
        <x:v>Already-assigned, concurrency, audit and other statuses absent</x:v>
      </x:c>
      <x:c r="K15" s="9" t="str">
        <x:v>PASS local Node24 and GitHub Node22</x:v>
      </x:c>
      <x:c r="L15" s="9" t="str">
        <x:v>https://github.com/Don-Sanvura/Civic-connect/blob/f874f5cba35cb326c7a3aabeaa0e183f4eedb4b4/tests/civicconnect.test.js#L52</x:v>
      </x:c>
    </x:row>
    <x:row r="16" ht="56" customHeight="1">
      <x:c r="A16" s="10" t="str">
        <x:v>TST-011</x:v>
      </x:c>
      <x:c r="B16" s="10" t="str">
        <x:v>TST-011 [NFR-004] non-assignee staff cannot change request state</x:v>
      </x:c>
      <x:c r="C16" s="10" t="str">
        <x:v>NFR-004; FR-003</x:v>
      </x:c>
      <x:c r="D16" s="10" t="str">
        <x:v>AC-N004; AC-003</x:v>
      </x:c>
      <x:c r="E16" s="10" t="str">
        <x:v>Unit/service; ownership negative</x:v>
      </x:c>
      <x:c r="F16" s="10" t="str">
        <x:v>staff-A updates staff-B assigned item</x:v>
      </x:c>
      <x:c r="G16" s="10" t="str">
        <x:v>403 NOT_ASSIGNEE</x:v>
      </x:c>
      <x:c r="H16" s="10" t="str">
        <x:v>throws status403/code</x:v>
      </x:c>
      <x:c r="I16" s="10" t="str">
        <x:v>One non-assignee state update denied</x:v>
      </x:c>
      <x:c r="J16" s="10" t="str">
        <x:v>Whole matrix and no-change snapshot absent</x:v>
      </x:c>
      <x:c r="K16" s="10" t="str">
        <x:v>PASS local Node24 and GitHub Node22</x:v>
      </x:c>
      <x:c r="L16" s="10" t="str">
        <x:v>https://github.com/Don-Sanvura/Civic-connect/blob/f874f5cba35cb326c7a3aabeaa0e183f4eedb4b4/tests/civicconnect.test.js#L53</x:v>
      </x:c>
    </x:row>
    <x:row r="17" ht="56" customHeight="1">
      <x:c r="A17" s="9" t="str">
        <x:v>TST-012</x:v>
      </x:c>
      <x:c r="B17" s="9" t="str">
        <x:v>TST-012 [FR-015] undefined state transition is rejected</x:v>
      </x:c>
      <x:c r="C17" s="9" t="str">
        <x:v>FR-015</x:v>
      </x:c>
      <x:c r="D17" s="9" t="str">
        <x:v>AC-015</x:v>
      </x:c>
      <x:c r="E17" s="9" t="str">
        <x:v>Unit/service; forbidden state transition</x:v>
      </x:c>
      <x:c r="F17" s="9" t="str">
        <x:v>Manager New to Closed</x:v>
      </x:c>
      <x:c r="G17" s="9" t="str">
        <x:v>409 INVALID_TRANSITION</x:v>
      </x:c>
      <x:c r="H17" s="9" t="str">
        <x:v>throws status409/code</x:v>
      </x:c>
      <x:c r="I17" s="9" t="str">
        <x:v>One illegal transition refused</x:v>
      </x:c>
      <x:c r="J17" s="9" t="str">
        <x:v>Closed illegal cases, full 7x7 table, side effects absent</x:v>
      </x:c>
      <x:c r="K17" s="9" t="str">
        <x:v>PASS local Node24 and GitHub Node22</x:v>
      </x:c>
      <x:c r="L17" s="9" t="str">
        <x:v>https://github.com/Don-Sanvura/Civic-connect/blob/f874f5cba35cb326c7a3aabeaa0e183f4eedb4b4/tests/civicconnect.test.js#L54</x:v>
      </x:c>
    </x:row>
    <x:row r="18" ht="56" customHeight="1">
      <x:c r="A18" s="10" t="str">
        <x:v>TST-013</x:v>
      </x:c>
      <x:c r="B18" s="10" t="str">
        <x:v>TST-013 [FR-016] resolution requires a note</x:v>
      </x:c>
      <x:c r="C18" s="10" t="str">
        <x:v>FR-016</x:v>
      </x:c>
      <x:c r="D18" s="10" t="str">
        <x:v>AC-016</x:v>
      </x:c>
      <x:c r="E18" s="10" t="str">
        <x:v>Unit/service; required note negative</x:v>
      </x:c>
      <x:c r="F18" s="10" t="str">
        <x:v>Assigned Staff In Progress to Resolved; no note</x:v>
      </x:c>
      <x:c r="G18" s="10" t="str">
        <x:v>400 RESOLUTION_NOTE_REQUIRED</x:v>
      </x:c>
      <x:c r="H18" s="10" t="str">
        <x:v>throws status400/code</x:v>
      </x:c>
      <x:c r="I18" s="10" t="str">
        <x:v>Omitted resolution note rejected</x:v>
      </x:c>
      <x:c r="J18" s="10" t="str">
        <x:v>Blank/invalid type/length, unchanged state absent</x:v>
      </x:c>
      <x:c r="K18" s="10" t="str">
        <x:v>PASS local Node24 and GitHub Node22</x:v>
      </x:c>
      <x:c r="L18" s="10" t="str">
        <x:v>https://github.com/Don-Sanvura/Civic-connect/blob/f874f5cba35cb326c7a3aabeaa0e183f4eedb4b4/tests/civicconnect.test.js#L55</x:v>
      </x:c>
    </x:row>
    <x:row r="19" ht="56" customHeight="1">
      <x:c r="A19" s="9" t="str">
        <x:v>TST-014</x:v>
      </x:c>
      <x:c r="B19" s="9" t="str">
        <x:v>TST-014 [FR-016] assigned staff can resolve with a note</x:v>
      </x:c>
      <x:c r="C19" s="9" t="str">
        <x:v>FR-016</x:v>
      </x:c>
      <x:c r="D19" s="9" t="str">
        <x:v>AC-016</x:v>
      </x:c>
      <x:c r="E19" s="9" t="str">
        <x:v>Unit/service; valid resolution</x:v>
      </x:c>
      <x:c r="F19" s="9" t="str">
        <x:v>Assigned Staff resolves with lamp note</x:v>
      </x:c>
      <x:c r="G19" s="9" t="str">
        <x:v>Returned note equals input</x:v>
      </x:c>
      <x:c r="H19" s="9" t="str">
        <x:v>resolutionNote exact string only</x:v>
      </x:c>
      <x:c r="I19" s="9" t="str">
        <x:v>Note returned for legal resolution</x:v>
      </x:c>
      <x:c r="J19" s="9" t="str">
        <x:v>Does not assert status, author/time, old value or durable store</x:v>
      </x:c>
      <x:c r="K19" s="9" t="str">
        <x:v>PASS local Node24 and GitHub Node22</x:v>
      </x:c>
      <x:c r="L19" s="9" t="str">
        <x:v>https://github.com/Don-Sanvura/Civic-connect/blob/f874f5cba35cb326c7a3aabeaa0e183f4eedb4b4/tests/civicconnect.test.js#L56</x:v>
      </x:c>
    </x:row>
    <x:row r="20" ht="56" customHeight="1">
      <x:c r="A20" s="10" t="str">
        <x:v>TST-015</x:v>
      </x:c>
      <x:c r="B20" s="10" t="str">
        <x:v>TST-015 [FR-017] staff cannot close a resolved request</x:v>
      </x:c>
      <x:c r="C20" s="10" t="str">
        <x:v>FR-017; NFR-004</x:v>
      </x:c>
      <x:c r="D20" s="10" t="str">
        <x:v>AC-017; AC-N004</x:v>
      </x:c>
      <x:c r="E20" s="10" t="str">
        <x:v>Unit/service; role-operation negative</x:v>
      </x:c>
      <x:c r="F20" s="10" t="str">
        <x:v>Staff tries to close Resolved</x:v>
      </x:c>
      <x:c r="G20" s="10" t="str">
        <x:v>403 FORBIDDEN</x:v>
      </x:c>
      <x:c r="H20" s="10" t="str">
        <x:v>throws status403/code</x:v>
      </x:c>
      <x:c r="I20" s="10" t="str">
        <x:v>Staff closure denied</x:v>
      </x:c>
      <x:c r="J20" s="10" t="str">
        <x:v>Manager stored final state, actor/time, unchanged state absent</x:v>
      </x:c>
      <x:c r="K20" s="10" t="str">
        <x:v>PASS local Node24 and GitHub Node22</x:v>
      </x:c>
      <x:c r="L20" s="10" t="str">
        <x:v>https://github.com/Don-Sanvura/Civic-connect/blob/f874f5cba35cb326c7a3aabeaa0e183f4eedb4b4/tests/civicconnect.test.js#L57</x:v>
      </x:c>
    </x:row>
    <x:row r="21" ht="56" customHeight="1">
      <x:c r="A21" s="9" t="str">
        <x:v>TST-016</x:v>
      </x:c>
      <x:c r="B21" s="9" t="str">
        <x:v>TST-016 [FR-018] rejection requires a reason</x:v>
      </x:c>
      <x:c r="C21" s="9" t="str">
        <x:v>FR-018</x:v>
      </x:c>
      <x:c r="D21" s="9" t="str">
        <x:v>AC-018</x:v>
      </x:c>
      <x:c r="E21" s="9" t="str">
        <x:v>Unit/service; missing reason negative</x:v>
      </x:c>
      <x:c r="F21" s="9" t="str">
        <x:v>Manager rejects New; reason omitted</x:v>
      </x:c>
      <x:c r="G21" s="9" t="str">
        <x:v>400 REJECTION_REASON_REQUIRED</x:v>
      </x:c>
      <x:c r="H21" s="9" t="str">
        <x:v>throws status400/code</x:v>
      </x:c>
      <x:c r="I21" s="9" t="str">
        <x:v>Missing rejection reason rejected</x:v>
      </x:c>
      <x:c r="J21" s="9" t="str">
        <x:v>Blank/type/length and no-change absent</x:v>
      </x:c>
      <x:c r="K21" s="9" t="str">
        <x:v>PASS local Node24 and GitHub Node22</x:v>
      </x:c>
      <x:c r="L21" s="9" t="str">
        <x:v>https://github.com/Don-Sanvura/Civic-connect/blob/f874f5cba35cb326c7a3aabeaa0e183f4eedb4b4/tests/civicconnect.test.js#L58</x:v>
      </x:c>
    </x:row>
    <x:row r="22" ht="56" customHeight="1">
      <x:c r="A22" s="10" t="str">
        <x:v>TST-017</x:v>
      </x:c>
      <x:c r="B22" s="10" t="str">
        <x:v>TST-017 [FR-018] manager can reject with a reason</x:v>
      </x:c>
      <x:c r="C22" s="10" t="str">
        <x:v>FR-018</x:v>
      </x:c>
      <x:c r="D22" s="10" t="str">
        <x:v>AC-018</x:v>
      </x:c>
      <x:c r="E22" s="10" t="str">
        <x:v>Unit/service; valid rejection</x:v>
      </x:c>
      <x:c r="F22" s="10" t="str">
        <x:v>Manager rejects New with Duplicate request</x:v>
      </x:c>
      <x:c r="G22" s="10" t="str">
        <x:v>Reason stored/returned</x:v>
      </x:c>
      <x:c r="H22" s="10" t="str">
        <x:v>rejectionReason exact string only</x:v>
      </x:c>
      <x:c r="I22" s="10" t="str">
        <x:v>Reason returned</x:v>
      </x:c>
      <x:c r="J22" s="10" t="str">
        <x:v>Does not assert status, notification or Staff case</x:v>
      </x:c>
      <x:c r="K22" s="10" t="str">
        <x:v>PASS local Node24 and GitHub Node22</x:v>
      </x:c>
      <x:c r="L22" s="10" t="str">
        <x:v>https://github.com/Don-Sanvura/Civic-connect/blob/f874f5cba35cb326c7a3aabeaa0e183f4eedb4b4/tests/civicconnect.test.js#L59</x:v>
      </x:c>
    </x:row>
    <x:row r="23" ht="56" customHeight="1">
      <x:c r="A23" s="9" t="str">
        <x:v>TST-018</x:v>
      </x:c>
      <x:c r="B23" s="9" t="str">
        <x:v>TST-018 [FR-008] requester cannot read another requester request</x:v>
      </x:c>
      <x:c r="C23" s="9" t="str">
        <x:v>FR-008; FR-003; NFR-012 indirect only</x:v>
      </x:c>
      <x:c r="D23" s="9" t="str">
        <x:v>AC-008; AC-003; AC-N012</x:v>
      </x:c>
      <x:c r="E23" s="9" t="str">
        <x:v>Unit/service; direct record ownership negative</x:v>
      </x:c>
      <x:c r="F23" s="9" t="str">
        <x:v>req-B opens req-A item</x:v>
      </x:c>
      <x:c r="G23" s="9" t="str">
        <x:v>403 FORBIDDEN</x:v>
      </x:c>
      <x:c r="H23" s="9" t="str">
        <x:v>throws status403/code</x:v>
      </x:c>
      <x:c r="I23" s="9" t="str">
        <x:v>Other requester detail denied</x:v>
      </x:c>
      <x:c r="J23" s="9" t="str">
        <x:v>Not list membership/order; no contact data exists to test NFR-012</x:v>
      </x:c>
      <x:c r="K23" s="9" t="str">
        <x:v>PASS local Node24 and GitHub Node22</x:v>
      </x:c>
      <x:c r="L23" s="9" t="str">
        <x:v>https://github.com/Don-Sanvura/Civic-connect/blob/f874f5cba35cb326c7a3aabeaa0e183f4eedb4b4/tests/civicconnect.test.js#L60</x:v>
      </x:c>
    </x:row>
    <x:row r="24" ht="56" customHeight="1">
      <x:c r="A24" s="10" t="str">
        <x:v>TST-019</x:v>
      </x:c>
      <x:c r="B24" s="10" t="str">
        <x:v>TST-019 [FR-025/NFR-006] audit stores previous and new state values</x:v>
      </x:c>
      <x:c r="C24" s="10" t="str">
        <x:v>FR-025; NFR-006</x:v>
      </x:c>
      <x:c r="D24" s="10" t="str">
        <x:v>AC-025; AC-N006</x:v>
      </x:c>
      <x:c r="E24" s="10" t="str">
        <x:v>Unit/service; audit inspection</x:v>
      </x:c>
      <x:c r="F24" s="10" t="str">
        <x:v>Create then manager assign</x:v>
      </x:c>
      <x:c r="G24" s="10" t="str">
        <x:v>Two events incl creation; assignment old/new status</x:v>
      </x:c>
      <x:c r="H24" s="10" t="str">
        <x:v>length2; previous.status New; new.status Accepted; at truthy</x:v>
      </x:c>
      <x:c r="I24" s="10" t="str">
        <x:v>Creation-plus-assignment status snapshot exists</x:v>
      </x:c>
      <x:c r="J24" s="10" t="str">
        <x:v>No actor/UTC parsing/old-new assignee assertions, immutability, persistence or k-change semantics</x:v>
      </x:c>
      <x:c r="K24" s="10" t="str">
        <x:v>PASS local Node24 and GitHub Node22</x:v>
      </x:c>
      <x:c r="L24" s="10" t="str">
        <x:v>https://github.com/Don-Sanvura/Civic-connect/blob/f874f5cba35cb326c7a3aabeaa0e183f4eedb4b4/tests/civicconnect.test.js#L61</x:v>
      </x:c>
    </x:row>
    <x:row r="25" ht="56" customHeight="1">
      <x:c r="A25" s="9" t="str">
        <x:v>TST-020</x:v>
      </x:c>
      <x:c r="B25" s="9" t="str">
        <x:v>TST-020 [API] missing bearer token returns 401 structured error</x:v>
      </x:c>
      <x:c r="C25" s="9" t="str">
        <x:v>FR-002 partial; FR-003</x:v>
      </x:c>
      <x:c r="D25" s="9" t="str">
        <x:v>AC-002; AC-003</x:v>
      </x:c>
      <x:c r="E25" s="9" t="str">
        <x:v>HTTP/API integration; authentication negative</x:v>
      </x:c>
      <x:c r="F25" s="9" t="str">
        <x:v>GET /api/requests without token</x:v>
      </x:c>
      <x:c r="G25" s="9" t="str">
        <x:v>401 structured UNAUTHENTICATED</x:v>
      </x:c>
      <x:c r="H25" s="9" t="str">
        <x:v>status401; error.code</x:v>
      </x:c>
      <x:c r="I25" s="9" t="str">
        <x:v>One protected API refuses no token</x:v>
      </x:c>
      <x:c r="J25" s="9" t="str">
        <x:v>Email/password, root redirect, malformed/expired tokens absent</x:v>
      </x:c>
      <x:c r="K25" s="9" t="str">
        <x:v>PASS local Node24 and GitHub Node22</x:v>
      </x:c>
      <x:c r="L25" s="9" t="str">
        <x:v>https://github.com/Don-Sanvura/Civic-connect/blob/f874f5cba35cb326c7a3aabeaa0e183f4eedb4b4/tests/civicconnect.test.js#L62</x:v>
      </x:c>
    </x:row>
    <x:row r="26" ht="56" customHeight="1">
      <x:c r="A26" s="10" t="str">
        <x:v>TST-021</x:v>
      </x:c>
      <x:c r="B26" s="10" t="str">
        <x:v>TST-021 [API] malformed JSON returns 400</x:v>
      </x:c>
      <x:c r="C26" s="10" t="str">
        <x:v>NFR-014</x:v>
      </x:c>
      <x:c r="D26" s="10" t="str">
        <x:v>AC-N014</x:v>
      </x:c>
      <x:c r="E26" s="10" t="str">
        <x:v>HTTP/API integration; malformed JSON</x:v>
      </x:c>
      <x:c r="F26" s="10" t="str">
        <x:v>POST requests body { with req-A bearer</x:v>
      </x:c>
      <x:c r="G26" s="10" t="str">
        <x:v>400 INVALID_JSON</x:v>
      </x:c>
      <x:c r="H26" s="10" t="str">
        <x:v>status400; error.code</x:v>
      </x:c>
      <x:c r="I26" s="10" t="str">
        <x:v>Malformed JSON rejected</x:v>
      </x:c>
      <x:c r="J26" s="10" t="str">
        <x:v>Valid JSON null/array/scalars, empty/oversized/Unicode bodies absent</x:v>
      </x:c>
      <x:c r="K26" s="10" t="str">
        <x:v>PASS local Node24 and GitHub Node22</x:v>
      </x:c>
      <x:c r="L26" s="10" t="str">
        <x:v>https://github.com/Don-Sanvura/Civic-connect/blob/f874f5cba35cb326c7a3aabeaa0e183f4eedb4b4/tests/civicconnect.test.js#L63</x:v>
      </x:c>
    </x:row>
    <x:row r="27" ht="56" customHeight="1">
      <x:c r="A27" s="9" t="str">
        <x:v>TST-022</x:v>
      </x:c>
      <x:c r="B27" s="9" t="str">
        <x:v>TST-022 [API/E2E] submit, assign, progress, resolve, close and inspect audit</x:v>
      </x:c>
      <x:c r="C27" s="9" t="str">
        <x:v>FR-005; FR-014; FR-015; FR-016; FR-017; FR-025; NFR-006</x:v>
      </x:c>
      <x:c r="D27" s="9" t="str">
        <x:v>AC-005; AC-014; AC-015; AC-016; AC-017; AC-025; AC-N006</x:v>
      </x:c>
      <x:c r="E27" s="9" t="str">
        <x:v>Multi-step HTTP/API integration journey</x:v>
      </x:c>
      <x:c r="F27" s="9" t="str">
        <x:v>Create; Manager assign; Staff progress/resolve; Manager close; audit</x:v>
      </x:c>
      <x:c r="G27" s="9" t="str">
        <x:v>201 then 200s, five events</x:v>
      </x:c>
      <x:c r="H27" s="9" t="str">
        <x:v>create201; each action200; audit.length5</x:v>
      </x:c>
      <x:c r="I27" s="9" t="str">
        <x:v>Happy-path API journey returns success and event count</x:v>
      </x:c>
      <x:c r="J27" s="9" t="str">
        <x:v>No browser. Final status/body, all event fields, notifications and persisted restart absent</x:v>
      </x:c>
      <x:c r="K27" s="9" t="str">
        <x:v>PASS local Node24 and GitHub Node22</x:v>
      </x:c>
      <x:c r="L27" s="9" t="str">
        <x:v>https://github.com/Don-Sanvura/Civic-connect/blob/f874f5cba35cb326c7a3aabeaa0e183f4eedb4b4/tests/civicconnect.test.js#L64</x:v>
      </x:c>
    </x:row>
    <x:row r="28" ht="56" customHeight="1">
      <x:c r="A28" s="10" t="str">
        <x:v>TST-023</x:v>
      </x:c>
      <x:c r="B28" s="10" t="str">
        <x:v>TST-023 [FR-023] only administrators may change controlled categories</x:v>
      </x:c>
      <x:c r="C28" s="10" t="str">
        <x:v>FR-023; NFR-004</x:v>
      </x:c>
      <x:c r="D28" s="10" t="str">
        <x:v>AC-023; AC-N004</x:v>
      </x:c>
      <x:c r="E28" s="10" t="str">
        <x:v>Unit/service; role pair and valid partition</x:v>
      </x:c>
      <x:c r="F28" s="10" t="str">
        <x:v>Manager create Parks denied; Admin create Parks target24</x:v>
      </x:c>
      <x:c r="G28" s="10" t="str">
        <x:v>403 Manager; Admin returns Parks</x:v>
      </x:c>
      <x:c r="H28" s="10" t="str">
        <x:v>denied403/FORBIDDEN; name Parks</x:v>
      </x:c>
      <x:c r="I28" s="10" t="str">
        <x:v>Only tested Manager denied and Admin creates</x:v>
      </x:c>
      <x:c r="J28" s="10" t="str">
        <x:v>Does not test every non-admin, target validation, rename/deactivate/delete</x:v>
      </x:c>
      <x:c r="K28" s="10" t="str">
        <x:v>PASS local Node24 and GitHub Node22</x:v>
      </x:c>
      <x:c r="L28" s="10" t="str">
        <x:v>https://github.com/Don-Sanvura/Civic-connect/blob/f874f5cba35cb326c7a3aabeaa0e183f4eedb4b4/tests/civicconnect.test.js#L72</x:v>
      </x:c>
    </x:row>
    <x:row r="29" ht="56" customHeight="1">
      <x:c r="A29" s="9" t="str">
        <x:v>TST-024</x:v>
      </x:c>
      <x:c r="B29" s="9" t="str">
        <x:v>TST-024 [API] category listing returns controlled values</x:v>
      </x:c>
      <x:c r="C29" s="9" t="str">
        <x:v>FR-006</x:v>
      </x:c>
      <x:c r="D29" s="9" t="str">
        <x:v>AC-006</x:v>
      </x:c>
      <x:c r="E29" s="9" t="str">
        <x:v>HTTP/API integration; list smoke</x:v>
      </x:c>
      <x:c r="F29" s="9" t="str">
        <x:v>Requester GET categories</x:v>
      </x:c>
      <x:c r="G29" s="9" t="str">
        <x:v>200 with Roads among results</x:v>
      </x:c>
      <x:c r="H29" s="9" t="str">
        <x:v>status200; some name Roads</x:v>
      </x:c>
      <x:c r="I29" s="9" t="str">
        <x:v>Roads exists in list</x:v>
      </x:c>
      <x:c r="J29" s="9" t="str">
        <x:v>No exact active list equality or inactive exclusion</x:v>
      </x:c>
      <x:c r="K29" s="9" t="str">
        <x:v>PASS local Node24 and GitHub Node22</x:v>
      </x:c>
      <x:c r="L29" s="9" t="str">
        <x:v>https://github.com/Don-Sanvura/Civic-connect/blob/f874f5cba35cb326c7a3aabeaa0e183f4eedb4b4/tests/civicconnect.test.js#L73</x:v>
      </x:c>
    </x:row>
    <x:row r="30" ht="56" customHeight="1">
      <x:c r="A30" s="10" t="str">
        <x:v>TST-025</x:v>
      </x:c>
      <x:c r="B30" s="10" t="str">
        <x:v>TST-025 [NFR-004] unsupported role in token config is rejected</x:v>
      </x:c>
      <x:c r="C30" s="10" t="str">
        <x:v>NFR-004 config; FR-003 indirect</x:v>
      </x:c>
      <x:c r="D30" s="10" t="str">
        <x:v>AC-N004; AC-003</x:v>
      </x:c>
      <x:c r="E30" s="10" t="str">
        <x:v>Unit/configuration; invalid role partition</x:v>
      </x:c>
      <x:c r="F30" s="10" t="str">
        <x:v>parseTokens with role root</x:v>
      </x:c>
      <x:c r="G30" s="10" t="str">
        <x:v>Throws supported roles error</x:v>
      </x:c>
      <x:c r="H30" s="10" t="str">
        <x:v>assert.throws message regex</x:v>
      </x:c>
      <x:c r="I30" s="10" t="str">
        <x:v>Unsupported config role rejected</x:v>
      </x:c>
      <x:c r="J30" s="10" t="str">
        <x:v>Not user authorisation matrix or empty/invalid config variants</x:v>
      </x:c>
      <x:c r="K30" s="10" t="str">
        <x:v>PASS local Node24 and GitHub Node22</x:v>
      </x:c>
      <x:c r="L30" s="10" t="str">
        <x:v>https://github.com/Don-Sanvura/Civic-connect/blob/f874f5cba35cb326c7a3aabeaa0e183f4eedb4b4/tests/civicconnect.test.js#L74</x:v>
      </x:c>
    </x:row>
    <x:row r="31" ht="56" customHeight="1">
      <x:c r="A31" s="9" t="str">
        <x:v>TST-026</x:v>
      </x:c>
      <x:c r="B31" s="9" t="str">
        <x:v>TST-026 [UI/API] home page serves accessible request intake interface</x:v>
      </x:c>
      <x:c r="C31" s="9" t="str">
        <x:v>NFR-008 indirect; FR-005 UI delivery</x:v>
      </x:c>
      <x:c r="D31" s="9" t="str">
        <x:v>AC-N008; AC-005</x:v>
      </x:c>
      <x:c r="E31" s="9" t="str">
        <x:v>HTTP/HTML route smoke</x:v>
      </x:c>
      <x:c r="F31" s="9" t="str">
        <x:v>Unauthenticated GET /</x:v>
      </x:c>
      <x:c r="G31" s="9" t="str">
        <x:v>200 HTML containing heading, aria-live and client.js</x:v>
      </x:c>
      <x:c r="H31" s="9" t="str">
        <x:v>status200; content-type HTML; three regexes</x:v>
      </x:c>
      <x:c r="I31" s="9" t="str">
        <x:v>UI markup is served</x:v>
      </x:c>
      <x:c r="J31" s="9" t="str">
        <x:v>No browser DOM, interaction, contrast, labels, keyboard or usability. Title accessible is unsupported</x:v>
      </x:c>
      <x:c r="K31" s="9" t="str">
        <x:v>PASS local Node24 and GitHub Node22</x:v>
      </x:c>
      <x:c r="L31" s="9" t="str">
        <x:v>https://github.com/Don-Sanvura/Civic-connect/blob/f874f5cba35cb326c7a3aabeaa0e183f4eedb4b4/tests/civicconnect.test.js#L76</x:v>
      </x:c>
    </x:row>
    <x:row r="32" ht="56" customHeight="1">
      <x:c r="A32" s="10" t="str">
        <x:v>TST-027</x:v>
      </x:c>
      <x:c r="B32" s="10" t="str">
        <x:v>TST-027 [UI/API] client bundle is served as JavaScript without HTML interpretation</x:v>
      </x:c>
      <x:c r="C32" s="10" t="str">
        <x:v>FR-005 UI delivery indirect</x:v>
      </x:c>
      <x:c r="D32" s="10" t="str">
        <x:v>AC-005</x:v>
      </x:c>
      <x:c r="E32" s="10" t="str">
        <x:v>HTTP/asset route smoke</x:v>
      </x:c>
      <x:c r="F32" s="10" t="str">
        <x:v>GET /client.js</x:v>
      </x:c>
      <x:c r="G32" s="10" t="str">
        <x:v>200 JavaScript containing API call</x:v>
      </x:c>
      <x:c r="H32" s="10" t="str">
        <x:v>status200; content-type javascript; regex</x:v>
      </x:c>
      <x:c r="I32" s="10" t="str">
        <x:v>Bundle route returns expected text</x:v>
      </x:c>
      <x:c r="J32" s="10" t="str">
        <x:v>No execution, browser rendering or syntax parsing of embedded client code</x:v>
      </x:c>
      <x:c r="K32" s="10" t="str">
        <x:v>PASS local Node24 and GitHub Node22</x:v>
      </x:c>
      <x:c r="L32" s="10" t="str">
        <x:v>https://github.com/Don-Sanvura/Civic-connect/blob/f874f5cba35cb326c7a3aabeaa0e183f4eedb4b4/tests/civicconnect.test.js#L85</x:v>
      </x:c>
    </x:row>
    <x:row r="33" ht="70" customHeight="1">
      <x:c r="A33" s="9" t="str">
        <x:v>TST-028</x:v>
      </x:c>
      <x:c r="B33" s="9" t="str">
        <x:v>TST-028 [E2E] requester submits a duplicate report, manager rejects with reason, and audit preserves decision</x:v>
      </x:c>
      <x:c r="C33" s="9" t="str">
        <x:v>FR-018; FR-008 partial; FR-025; NFR-006</x:v>
      </x:c>
      <x:c r="D33" s="9" t="str">
        <x:v>AC-018; AC-008; AC-025; AC-N006</x:v>
      </x:c>
      <x:c r="E33" s="9" t="str">
        <x:v>Multi-step HTTP/API integration journey</x:v>
      </x:c>
      <x:c r="F33" s="9" t="str">
        <x:v>One request; manager reject with reason; requester list; audit</x:v>
      </x:c>
      <x:c r="G33" s="9" t="str">
        <x:v>201 create,200 reject,Rejected list,2 events and reason</x:v>
      </x:c>
      <x:c r="H33" s="9" t="str">
        <x:v>create201;reject200/status Rejected;list first status;events length2/action/reason</x:v>
      </x:c>
      <x:c r="I33" s="9" t="str">
        <x:v>API rejection reflected in list and audit</x:v>
      </x:c>
      <x:c r="J33" s="9" t="str">
        <x:v>No browser; no existing duplicate, duplicate warning, cancel/confirm, notification or final list HTTP status assertion</x:v>
      </x:c>
      <x:c r="K33" s="9" t="str">
        <x:v>PASS local Node24 and GitHub Node22</x:v>
      </x:c>
      <x:c r="L33" s="9" t="str">
        <x:v>https://github.com/Don-Sanvura/Civic-connect/blob/f874f5cba35cb326c7a3aabeaa0e183f4eedb4b4/tests/civicconnect.test.js#L92</x:v>
      </x:c>
    </x:row>
  </x:sheetData>
  <x:pageMargins left="0.7" right="0.7" top="0.75" bottom="0.75" header="0.3" footer="0.3"/>
  <x:tableParts count="1">
    <x:tablePart xmlns:r="http://schemas.openxmlformats.org/officeDocument/2006/relationships" r:id="R010b829344bf4628"/>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55" hidden="0" customWidth="1"/>
    <x:col min="3" max="3" width="16" hidden="0" customWidth="1"/>
    <x:col min="4" max="4" width="16" hidden="0" customWidth="1"/>
    <x:col min="5" max="5" width="68" hidden="0" customWidth="1"/>
    <x:col min="6" max="6" width="55" hidden="0" customWidth="1"/>
    <x:col min="7" max="7" width="55" hidden="0" customWidth="1"/>
    <x:col min="8" max="8" width="55" hidden="0" customWidth="1"/>
    <x:col min="9" max="9" width="55" hidden="0" customWidth="1"/>
    <x:col min="10" max="10" width="68" hidden="0" customWidth="1"/>
    <x:col min="11" max="11" width="55" hidden="0" customWidth="1"/>
    <x:col min="12" max="12" width="32" hidden="0" customWidth="1"/>
  </x:cols>
  <x:sheetData>
    <x:row r="2">
      <x:c r="A2" s="1" t="str">
        <x:v>Functional cases</x:v>
      </x:c>
    </x:row>
    <x:row r="3">
      <x:c r="A3" t="str">
        <x:v>Reviewed main f874f5cba35cb326c7a3aabeaa0e183f4eedb4b4 | 17 October 2026 SAST | Recommendations; no repository edits or human signoff</x:v>
      </x:c>
    </x:row>
    <x:row r="4">
      <x:c r="A4" s="16" t="str">
        <x:v>Source: CivicConnect-QA-Review.html; pinned source locator and captured evidence folder</x:v>
      </x:c>
    </x:row>
    <x:row r="5" ht="36" customHeight="1">
      <x:c r="A5" s="8" t="str">
        <x:v>Case ID</x:v>
      </x:c>
      <x:c r="B5" s="8" t="str">
        <x:v>Requirement</x:v>
      </x:c>
      <x:c r="C5" s="8" t="str">
        <x:v>AC ID</x:v>
      </x:c>
      <x:c r="D5" s="8" t="str">
        <x:v>Priority</x:v>
      </x:c>
      <x:c r="E5" s="8" t="str">
        <x:v>Setup</x:v>
      </x:c>
      <x:c r="F5" s="8" t="str">
        <x:v>Test data</x:v>
      </x:c>
      <x:c r="G5" s="8" t="str">
        <x:v>Action</x:v>
      </x:c>
      <x:c r="H5" s="8" t="str">
        <x:v>Expected outcome</x:v>
      </x:c>
      <x:c r="I5" s="8" t="str">
        <x:v>Negative cases</x:v>
      </x:c>
      <x:c r="J5" s="8" t="str">
        <x:v>Evidence needed</x:v>
      </x:c>
      <x:c r="K5" s="8" t="str">
        <x:v>Current result</x:v>
      </x:c>
      <x:c r="L5" s="8" t="str">
        <x:v>Recommended owner</x:v>
      </x:c>
    </x:row>
    <x:row r="6" ht="70" customHeight="1">
      <x:c r="A6" s="10" t="str">
        <x:v>FV-01</x:v>
      </x:c>
      <x:c r="B6" s="10" t="str">
        <x:v>FR-001</x:v>
      </x:c>
      <x:c r="C6" s="10" t="str">
        <x:v>AC-001</x:v>
      </x:c>
      <x:c r="D6" s="10" t="str">
        <x:v>P0</x:v>
      </x:c>
      <x:c r="E6" s="10" t="str">
        <x:v>Seed synthetic requester A/B, Staff S/T, Manager M and Administrator Z with distinct stable identities. Use isolated data and controlled timestamps.</x:v>
      </x:c>
      <x:c r="F6" s="10" t="str">
        <x:v>Admin creates valid user a@example.invalid as Staff</x:v>
      </x:c>
      <x:c r="G6" s="10" t="str">
        <x:v>Admin creates valid user a@example.invalid as Staff</x:v>
      </x:c>
      <x:c r="H6" s="10" t="str">
        <x:v>Exactly one active account/role and creation audit; self-registration default Requester if supported</x:v>
      </x:c>
      <x:c r="I6" s="10" t="str">
        <x:v>Duplicate/invalid email, unauthorised creator, multiple roles</x:v>
      </x:c>
      <x:c r="J6" s="10" t="str">
        <x:v>Exact SHA/environment; seed and pre/post data; API transcript plus browser recording/screens where UI is required; audit/notification/database evidence as applicable; result and defect/retest link.</x:v>
      </x:c>
      <x:c r="K6" s="10" t="str">
        <x:v>DESIGNED, NOT EXECUTED as full acceptance case</x:v>
      </x:c>
      <x:c r="L6" s="10" t="str">
        <x:v>Masego implements; Emile verifies</x:v>
      </x:c>
    </x:row>
    <x:row r="7" ht="70" customHeight="1">
      <x:c r="A7" s="9" t="str">
        <x:v>FV-02</x:v>
      </x:c>
      <x:c r="B7" s="9" t="str">
        <x:v>FR-002</x:v>
      </x:c>
      <x:c r="C7" s="9" t="str">
        <x:v>AC-002</x:v>
      </x:c>
      <x:c r="D7" s="9" t="str">
        <x:v>P0</x:v>
      </x:c>
      <x:c r="E7" s="9" t="str">
        <x:v>Seed synthetic requester A/B, Staff S/T, Manager M and Administrator Z with distinct stable identities. Use isolated data and controlled timestamps.</x:v>
      </x:c>
      <x:c r="F7" s="9" t="str">
        <x:v>Visit each protected URL/API before and after email/password sign-in</x:v>
      </x:c>
      <x:c r="G7" s="9" t="str">
        <x:v>Visit each protected URL/API before and after email/password sign-in</x:v>
      </x:c>
      <x:c r="H7" s="9" t="str">
        <x:v>Unauthenticated page redirects to sign-in and no request data; valid login grants correct identity</x:v>
      </x:c>
      <x:c r="I7" s="9" t="str">
        <x:v>Wrong password, unknown account, expired/revoked session; secret replay</x:v>
      </x:c>
      <x:c r="J7" s="9" t="str">
        <x:v>Exact SHA/environment; seed and pre/post data; API transcript plus browser recording/screens where UI is required; audit/notification/database evidence as applicable; result and defect/retest link.</x:v>
      </x:c>
      <x:c r="K7" s="9" t="str">
        <x:v>DESIGNED, NOT EXECUTED as full acceptance case</x:v>
      </x:c>
      <x:c r="L7" s="9" t="str">
        <x:v>Masego implements; Emile verifies</x:v>
      </x:c>
    </x:row>
    <x:row r="8" ht="70" customHeight="1">
      <x:c r="A8" s="10" t="str">
        <x:v>FV-03</x:v>
      </x:c>
      <x:c r="B8" s="10" t="str">
        <x:v>FR-003</x:v>
      </x:c>
      <x:c r="C8" s="10" t="str">
        <x:v>AC-003</x:v>
      </x:c>
      <x:c r="D8" s="10" t="str">
        <x:v>P0</x:v>
      </x:c>
      <x:c r="E8" s="10" t="str">
        <x:v>Seed synthetic requester A/B, Staff S/T, Manager M and Administrator Z with distinct stable identities. Use isolated data and controlled timestamps.</x:v>
      </x:c>
      <x:c r="F8" s="10" t="str">
        <x:v>Execute every restricted operation as each role against own/unassigned/other records</x:v>
      </x:c>
      <x:c r="G8" s="10" t="str">
        <x:v>Execute every restricted operation as each role against own/unassigned/other records</x:v>
      </x:c>
      <x:c r="H8" s="10" t="str">
        <x:v>Only approved permissions succeed; denied request has auth error and identical data/audit snapshot</x:v>
      </x:c>
      <x:c r="I8" s="10" t="str">
        <x:v>Missing/forged token, cross-record access, admin inheritance ambiguity</x:v>
      </x:c>
      <x:c r="J8" s="10" t="str">
        <x:v>Exact SHA/environment; seed and pre/post data; API transcript plus browser recording/screens where UI is required; audit/notification/database evidence as applicable; result and defect/retest link.</x:v>
      </x:c>
      <x:c r="K8" s="10" t="str">
        <x:v>DESIGNED, NOT EXECUTED as full acceptance case</x:v>
      </x:c>
      <x:c r="L8" s="10" t="str">
        <x:v>Masego implements; Emile verifies</x:v>
      </x:c>
    </x:row>
    <x:row r="9" ht="70" customHeight="1">
      <x:c r="A9" s="9" t="str">
        <x:v>FV-04</x:v>
      </x:c>
      <x:c r="B9" s="9" t="str">
        <x:v>FR-004</x:v>
      </x:c>
      <x:c r="C9" s="9" t="str">
        <x:v>AC-004</x:v>
      </x:c>
      <x:c r="D9" s="9" t="str">
        <x:v>P1</x:v>
      </x:c>
      <x:c r="E9" s="9" t="str">
        <x:v>Seed synthetic requester A/B, Staff S/T, Manager M and Administrator Z with distinct stable identities. Use isolated data and controlled timestamps.</x:v>
      </x:c>
      <x:c r="F9" s="9" t="str">
        <x:v>Request reset for registered email, use link once then replay and expire second link</x:v>
      </x:c>
      <x:c r="G9" s="9" t="str">
        <x:v>Request reset for registered email, use link once then replay and expire second link</x:v>
      </x:c>
      <x:c r="H9" s="9" t="str">
        <x:v>New password works only on valid first use; reused/expired link refused</x:v>
      </x:c>
      <x:c r="I9" s="9" t="str">
        <x:v>Unknown address, malformed link, old session policy</x:v>
      </x:c>
      <x:c r="J9" s="9" t="str">
        <x:v>Exact SHA/environment; seed and pre/post data; API transcript plus browser recording/screens where UI is required; audit/notification/database evidence as applicable; result and defect/retest link.</x:v>
      </x:c>
      <x:c r="K9" s="9" t="str">
        <x:v>DESIGNED, NOT EXECUTED as full acceptance case</x:v>
      </x:c>
      <x:c r="L9" s="9" t="str">
        <x:v>Masego implements; Emile verifies</x:v>
      </x:c>
    </x:row>
    <x:row r="10" ht="70" customHeight="1">
      <x:c r="A10" s="10" t="str">
        <x:v>FV-05</x:v>
      </x:c>
      <x:c r="B10" s="10" t="str">
        <x:v>FR-005</x:v>
      </x:c>
      <x:c r="C10" s="10" t="str">
        <x:v>AC-005</x:v>
      </x:c>
      <x:c r="D10" s="10" t="str">
        <x:v>P0</x:v>
      </x:c>
      <x:c r="E10" s="10" t="str">
        <x:v>Seed synthetic requester A/B, Staff S/T, Manager M and Administrator Z with distinct stable identities. Use isolated data and controlled timestamps.</x:v>
      </x:c>
      <x:c r="F10" s="10" t="str">
        <x:v>Submit valid four-field form twice then retrieve and restart app</x:v>
      </x:c>
      <x:c r="G10" s="10" t="str">
        <x:v>Submit valid four-field form twice then retrieve and restart app</x:v>
      </x:c>
      <x:c r="H10" s="10" t="str">
        <x:v>Two unique references, New, submitter and timestamps; visible reference and durable readback</x:v>
      </x:c>
      <x:c r="I10" s="10" t="str">
        <x:v>Each missing/invalid mandatory field; client constraints bypassed</x:v>
      </x:c>
      <x:c r="J10" s="10" t="str">
        <x:v>Exact SHA/environment; seed and pre/post data; API transcript plus browser recording/screens where UI is required; audit/notification/database evidence as applicable; result and defect/retest link.</x:v>
      </x:c>
      <x:c r="K10" s="10" t="str">
        <x:v>DESIGNED, NOT EXECUTED as full acceptance case</x:v>
      </x:c>
      <x:c r="L10" s="10" t="str">
        <x:v>Masego implements; Emile verifies</x:v>
      </x:c>
    </x:row>
    <x:row r="11" ht="70" customHeight="1">
      <x:c r="A11" s="9" t="str">
        <x:v>FV-06</x:v>
      </x:c>
      <x:c r="B11" s="9" t="str">
        <x:v>FR-006</x:v>
      </x:c>
      <x:c r="C11" s="9" t="str">
        <x:v>AC-006</x:v>
      </x:c>
      <x:c r="D11" s="9" t="str">
        <x:v>P1</x:v>
      </x:c>
      <x:c r="E11" s="9" t="str">
        <x:v>Seed synthetic requester A/B, Staff S/T, Manager M and Administrator Z with distinct stable identities. Use isolated data and controlled timestamps.</x:v>
      </x:c>
      <x:c r="F11" s="9" t="str">
        <x:v>Load active list then submit empty, inactive, unknown and valid category</x:v>
      </x:c>
      <x:c r="G11" s="9" t="str">
        <x:v>Load active list then submit empty, inactive, unknown and valid category</x:v>
      </x:c>
      <x:c r="H11" s="9" t="str">
        <x:v>Only active controlled values; field-level rejection with retained form values</x:v>
      </x:c>
      <x:c r="I11" s="9" t="str">
        <x:v>Free text, null, number, list changes during submission</x:v>
      </x:c>
      <x:c r="J11" s="9" t="str">
        <x:v>Exact SHA/environment; seed and pre/post data; API transcript plus browser recording/screens where UI is required; audit/notification/database evidence as applicable; result and defect/retest link.</x:v>
      </x:c>
      <x:c r="K11" s="9" t="str">
        <x:v>DESIGNED, NOT EXECUTED as full acceptance case</x:v>
      </x:c>
      <x:c r="L11" s="9" t="str">
        <x:v>Masego implements; Emile verifies</x:v>
      </x:c>
    </x:row>
    <x:row r="12" ht="70" customHeight="1">
      <x:c r="A12" s="10" t="str">
        <x:v>FV-07</x:v>
      </x:c>
      <x:c r="B12" s="10" t="str">
        <x:v>FR-007</x:v>
      </x:c>
      <x:c r="C12" s="10" t="str">
        <x:v>AC-007</x:v>
      </x:c>
      <x:c r="D12" s="10" t="str">
        <x:v>P1</x:v>
      </x:c>
      <x:c r="E12" s="10" t="str">
        <x:v>Seed synthetic requester A/B, Staff S/T, Manager M and Administrator Z with distinct stable identities. Use isolated data and controlled timestamps.</x:v>
      </x:c>
      <x:c r="F12" s="10" t="str">
        <x:v>Resolve own request and open requester detail screen</x:v>
      </x:c>
      <x:c r="G12" s="10" t="str">
        <x:v>Resolve own request and open requester detail screen</x:v>
      </x:c>
      <x:c r="H12" s="10" t="str">
        <x:v>Current status, true last status-change date and resolution note displayed</x:v>
      </x:c>
      <x:c r="I12" s="10" t="str">
        <x:v>Other requester access, assignment changes should not falsify status date</x:v>
      </x:c>
      <x:c r="J12" s="10" t="str">
        <x:v>Exact SHA/environment; seed and pre/post data; API transcript plus browser recording/screens where UI is required; audit/notification/database evidence as applicable; result and defect/retest link.</x:v>
      </x:c>
      <x:c r="K12" s="10" t="str">
        <x:v>DESIGNED, NOT EXECUTED as full acceptance case</x:v>
      </x:c>
      <x:c r="L12" s="10" t="str">
        <x:v>Masego implements; Emile verifies</x:v>
      </x:c>
    </x:row>
    <x:row r="13" ht="70" customHeight="1">
      <x:c r="A13" s="9" t="str">
        <x:v>FV-08</x:v>
      </x:c>
      <x:c r="B13" s="9" t="str">
        <x:v>FR-008</x:v>
      </x:c>
      <x:c r="C13" s="9" t="str">
        <x:v>AC-008</x:v>
      </x:c>
      <x:c r="D13" s="9" t="str">
        <x:v>P1</x:v>
      </x:c>
      <x:c r="E13" s="9" t="str">
        <x:v>Seed synthetic requester A/B, Staff S/T, Manager M and Administrator Z with distinct stable identities. Use isolated data and controlled timestamps.</x:v>
      </x:c>
      <x:c r="F13" s="9" t="str">
        <x:v>Seed three own and two other requests with distinct dates; open own history</x:v>
      </x:c>
      <x:c r="G13" s="9" t="str">
        <x:v>Seed three own and two other requests with distinct dates; open own history</x:v>
      </x:c>
      <x:c r="H13" s="9" t="str">
        <x:v>Exactly three own rows newest first with reference/category/submission date/status</x:v>
      </x:c>
      <x:c r="I13" s="9" t="str">
        <x:v>Empty history, equal timestamp stable tie policy, other detail access</x:v>
      </x:c>
      <x:c r="J13" s="9" t="str">
        <x:v>Exact SHA/environment; seed and pre/post data; API transcript plus browser recording/screens where UI is required; audit/notification/database evidence as applicable; result and defect/retest link.</x:v>
      </x:c>
      <x:c r="K13" s="9" t="str">
        <x:v>DESIGNED, NOT EXECUTED as full acceptance case</x:v>
      </x:c>
      <x:c r="L13" s="9" t="str">
        <x:v>Masego implements; Emile verifies</x:v>
      </x:c>
    </x:row>
    <x:row r="14" ht="70" customHeight="1">
      <x:c r="A14" s="10" t="str">
        <x:v>FV-09</x:v>
      </x:c>
      <x:c r="B14" s="10" t="str">
        <x:v>FR-009</x:v>
      </x:c>
      <x:c r="C14" s="10" t="str">
        <x:v>AC-009</x:v>
      </x:c>
      <x:c r="D14" s="10" t="str">
        <x:v>P1</x:v>
      </x:c>
      <x:c r="E14" s="10" t="str">
        <x:v>Seed synthetic requester A/B, Staff S/T, Manager M and Administrator Z with distinct stable identities. Use isolated data and controlled timestamps.</x:v>
      </x:c>
      <x:c r="F14" s="10" t="str">
        <x:v>Trigger Accepted, Rejected, Resolved and comment update</x:v>
      </x:c>
      <x:c r="G14" s="10" t="str">
        <x:v>Trigger Accepted, Rejected, Resolved and comment update</x:v>
      </x:c>
      <x:c r="H14" s="10" t="str">
        <x:v>Owner receives in-app and email reference/status/reason within 300s for AC states; verify broader comment requirement too</x:v>
      </x:c>
      <x:c r="I14" s="10" t="str">
        <x:v>Other owner leakage, failure/retry/duplicate sends, wrong recipient</x:v>
      </x:c>
      <x:c r="J14" s="10" t="str">
        <x:v>Exact SHA/environment; seed and pre/post data; API transcript plus browser recording/screens where UI is required; audit/notification/database evidence as applicable; result and defect/retest link.</x:v>
      </x:c>
      <x:c r="K14" s="10" t="str">
        <x:v>DESIGNED, NOT EXECUTED as full acceptance case</x:v>
      </x:c>
      <x:c r="L14" s="10" t="str">
        <x:v>Masego implements; Emile verifies</x:v>
      </x:c>
    </x:row>
    <x:row r="15" ht="70" customHeight="1">
      <x:c r="A15" s="9" t="str">
        <x:v>FV-10</x:v>
      </x:c>
      <x:c r="B15" s="9" t="str">
        <x:v>FR-010</x:v>
      </x:c>
      <x:c r="C15" s="9" t="str">
        <x:v>AC-010</x:v>
      </x:c>
      <x:c r="D15" s="9" t="str">
        <x:v>P1</x:v>
      </x:c>
      <x:c r="E15" s="9" t="str">
        <x:v>Seed synthetic requester A/B, Staff S/T, Manager M and Administrator Z with distinct stable identities. Use isolated data and controlled timestamps.</x:v>
      </x:c>
      <x:c r="F15" s="9" t="str">
        <x:v>Assigned Staff and owner exchange comments and inspect both views</x:v>
      </x:c>
      <x:c r="G15" s="9" t="str">
        <x:v>Assigned Staff and owner exchange comments and inspect both views</x:v>
      </x:c>
      <x:c r="H15" s="9" t="str">
        <x:v>Stored author/time attached to request, shared visibility, no other-party email/phone</x:v>
      </x:c>
      <x:c r="I15" s="9" t="str">
        <x:v>Non-party requester/unassigned staff, script content and credential leakage</x:v>
      </x:c>
      <x:c r="J15" s="9" t="str">
        <x:v>Exact SHA/environment; seed and pre/post data; API transcript plus browser recording/screens where UI is required; audit/notification/database evidence as applicable; result and defect/retest link.</x:v>
      </x:c>
      <x:c r="K15" s="9" t="str">
        <x:v>DESIGNED, NOT EXECUTED as full acceptance case</x:v>
      </x:c>
      <x:c r="L15" s="9" t="str">
        <x:v>Masego implements; Emile verifies</x:v>
      </x:c>
    </x:row>
    <x:row r="16" ht="70" customHeight="1">
      <x:c r="A16" s="10" t="str">
        <x:v>FV-11</x:v>
      </x:c>
      <x:c r="B16" s="10" t="str">
        <x:v>FR-011</x:v>
      </x:c>
      <x:c r="C16" s="10" t="str">
        <x:v>AC-011</x:v>
      </x:c>
      <x:c r="D16" s="10" t="str">
        <x:v>P1</x:v>
      </x:c>
      <x:c r="E16" s="10" t="str">
        <x:v>Seed synthetic requester A/B, Staff S/T, Manager M and Administrator Z with distinct stable identities. Use isolated data and controlled timestamps.</x:v>
      </x:c>
      <x:c r="F16" s="10" t="str">
        <x:v>Seed unassigned, S-assigned and T-assigned requests; Staff S opens queue</x:v>
      </x:c>
      <x:c r="G16" s="10" t="str">
        <x:v>Seed unassigned, S-assigned and T-assigned requests; Staff S opens queue</x:v>
      </x:c>
      <x:c r="H16" s="10" t="str">
        <x:v>Only unassigned and S-assigned included by default</x:v>
      </x:c>
      <x:c r="I16" s="10" t="str">
        <x:v>Direct T record fetch, no records, stale role session</x:v>
      </x:c>
      <x:c r="J16" s="10" t="str">
        <x:v>Exact SHA/environment; seed and pre/post data; API transcript plus browser recording/screens where UI is required; audit/notification/database evidence as applicable; result and defect/retest link.</x:v>
      </x:c>
      <x:c r="K16" s="10" t="str">
        <x:v>DESIGNED, NOT EXECUTED as full acceptance case</x:v>
      </x:c>
      <x:c r="L16" s="10" t="str">
        <x:v>Masego implements; Emile verifies</x:v>
      </x:c>
    </x:row>
    <x:row r="17" ht="70" customHeight="1">
      <x:c r="A17" s="9" t="str">
        <x:v>FV-12</x:v>
      </x:c>
      <x:c r="B17" s="9" t="str">
        <x:v>FR-012</x:v>
      </x:c>
      <x:c r="C17" s="9" t="str">
        <x:v>AC-012</x:v>
      </x:c>
      <x:c r="D17" s="9" t="str">
        <x:v>P1</x:v>
      </x:c>
      <x:c r="E17" s="9" t="str">
        <x:v>Seed synthetic requester A/B, Staff S/T, Manager M and Administrator Z with distinct stable identities. Use isolated data and controlled timestamps.</x:v>
      </x:c>
      <x:c r="F17" s="9" t="str">
        <x:v>Search keyword/reference, filter each supported field and combine status/category; sort</x:v>
      </x:c>
      <x:c r="G17" s="9" t="str">
        <x:v>Search keyword/reference, filter each supported field and combine status/category; sort</x:v>
      </x:c>
      <x:c r="H17" s="9" t="str">
        <x:v>Only matches in requested order; combined filters are intersection</x:v>
      </x:c>
      <x:c r="I17" s="9" t="str">
        <x:v>No matches, invalid filter/sort, dates boundary, cross-role data</x:v>
      </x:c>
      <x:c r="J17" s="9" t="str">
        <x:v>Exact SHA/environment; seed and pre/post data; API transcript plus browser recording/screens where UI is required; audit/notification/database evidence as applicable; result and defect/retest link.</x:v>
      </x:c>
      <x:c r="K17" s="9" t="str">
        <x:v>DESIGNED, NOT EXECUTED as full acceptance case</x:v>
      </x:c>
      <x:c r="L17" s="9" t="str">
        <x:v>Masego implements; Emile verifies</x:v>
      </x:c>
    </x:row>
    <x:row r="18" ht="70" customHeight="1">
      <x:c r="A18" s="10" t="str">
        <x:v>FV-13</x:v>
      </x:c>
      <x:c r="B18" s="10" t="str">
        <x:v>FR-013</x:v>
      </x:c>
      <x:c r="C18" s="10" t="str">
        <x:v>AC-013</x:v>
      </x:c>
      <x:c r="D18" s="10" t="str">
        <x:v>P1</x:v>
      </x:c>
      <x:c r="E18" s="10" t="str">
        <x:v>Seed synthetic requester A/B, Staff S/T, Manager M and Administrator Z with distinct stable identities. Use isolated data and controlled timestamps.</x:v>
      </x:c>
      <x:c r="F18" s="10" t="str">
        <x:v>Create, comment, assign/reassign and change status; authorised user opens detail</x:v>
      </x:c>
      <x:c r="G18" s="10" t="str">
        <x:v>Create, comment, assign/reassign and change status; authorised user opens detail</x:v>
      </x:c>
      <x:c r="H18" s="10" t="str">
        <x:v>Submitted fields/current status/assignee/all comments/complete ordered history</x:v>
      </x:c>
      <x:c r="I18" s="10" t="str">
        <x:v>Unauthorised user; leaked secrets or other contact data</x:v>
      </x:c>
      <x:c r="J18" s="10" t="str">
        <x:v>Exact SHA/environment; seed and pre/post data; API transcript plus browser recording/screens where UI is required; audit/notification/database evidence as applicable; result and defect/retest link.</x:v>
      </x:c>
      <x:c r="K18" s="10" t="str">
        <x:v>DESIGNED, NOT EXECUTED as full acceptance case</x:v>
      </x:c>
      <x:c r="L18" s="10" t="str">
        <x:v>Masego implements; Emile verifies</x:v>
      </x:c>
    </x:row>
    <x:row r="19" ht="70" customHeight="1">
      <x:c r="A19" s="9" t="str">
        <x:v>FV-14</x:v>
      </x:c>
      <x:c r="B19" s="9" t="str">
        <x:v>FR-014</x:v>
      </x:c>
      <x:c r="C19" s="9" t="str">
        <x:v>AC-014</x:v>
      </x:c>
      <x:c r="D19" s="9" t="str">
        <x:v>P0</x:v>
      </x:c>
      <x:c r="E19" s="9" t="str">
        <x:v>Seed synthetic requester A/B, Staff S/T, Manager M and Administrator Z with distinct stable identities. Use isolated data and controlled timestamps.</x:v>
      </x:c>
      <x:c r="F19" s="9" t="str">
        <x:v>Staff self-assign then Manager reassign S to T</x:v>
      </x:c>
      <x:c r="G19" s="9" t="str">
        <x:v>Staff self-assign then Manager reassign S to T</x:v>
      </x:c>
      <x:c r="H19" s="9" t="str">
        <x:v>Assignment belongs to active Staff; old/new values in audit with actor/time</x:v>
      </x:c>
      <x:c r="I19" s="9" t="str">
        <x:v>Unknown/non-Staff/inactive target, assigned self-claim, concurrent claim</x:v>
      </x:c>
      <x:c r="J19" s="9" t="str">
        <x:v>Exact SHA/environment; seed and pre/post data; API transcript plus browser recording/screens where UI is required; audit/notification/database evidence as applicable; result and defect/retest link.</x:v>
      </x:c>
      <x:c r="K19" s="9" t="str">
        <x:v>DESIGNED, NOT EXECUTED as full acceptance case</x:v>
      </x:c>
      <x:c r="L19" s="9" t="str">
        <x:v>Masego implements; Emile verifies</x:v>
      </x:c>
    </x:row>
    <x:row r="20" ht="70" customHeight="1">
      <x:c r="A20" s="10" t="str">
        <x:v>FV-15</x:v>
      </x:c>
      <x:c r="B20" s="10" t="str">
        <x:v>FR-015</x:v>
      </x:c>
      <x:c r="C20" s="10" t="str">
        <x:v>AC-015</x:v>
      </x:c>
      <x:c r="D20" s="10" t="str">
        <x:v>P0</x:v>
      </x:c>
      <x:c r="E20" s="10" t="str">
        <x:v>Seed synthetic requester A/B, Staff S/T, Manager M and Administrator Z with distinct stable identities. Use isolated data and controlled timestamps.</x:v>
      </x:c>
      <x:c r="F20" s="10" t="str">
        <x:v>Exercise approved seven-state matrix for every actor/context, especially Closed</x:v>
      </x:c>
      <x:c r="G20" s="10" t="str">
        <x:v>Exercise approved seven-state matrix for every actor/context, especially Closed</x:v>
      </x:c>
      <x:c r="H20" s="10" t="str">
        <x:v>Only defined transitions; actor/time event per accepted change, full no-change on every refusal</x:v>
      </x:c>
      <x:c r="I20" s="10" t="str">
        <x:v>Closed to Resolved with a different note; illegal rejection reason side effects</x:v>
      </x:c>
      <x:c r="J20" s="10" t="str">
        <x:v>Exact SHA/environment; seed and pre/post data; API transcript plus browser recording/screens where UI is required; audit/notification/database evidence as applicable; result and defect/retest link.</x:v>
      </x:c>
      <x:c r="K20" s="10" t="str">
        <x:v>DESIGNED, NOT EXECUTED as full acceptance case</x:v>
      </x:c>
      <x:c r="L20" s="10" t="str">
        <x:v>Masego implements; Emile verifies</x:v>
      </x:c>
    </x:row>
    <x:row r="21" ht="70" customHeight="1">
      <x:c r="A21" s="9" t="str">
        <x:v>FV-16</x:v>
      </x:c>
      <x:c r="B21" s="9" t="str">
        <x:v>FR-016</x:v>
      </x:c>
      <x:c r="C21" s="9" t="str">
        <x:v>AC-016</x:v>
      </x:c>
      <x:c r="D21" s="9" t="str">
        <x:v>P0</x:v>
      </x:c>
      <x:c r="E21" s="9" t="str">
        <x:v>Seed synthetic requester A/B, Staff S/T, Manager M and Administrator Z with distinct stable identities. Use isolated data and controlled timestamps.</x:v>
      </x:c>
      <x:c r="F21" s="9" t="str">
        <x:v>Assigned Staff records action then resolves with note</x:v>
      </x:c>
      <x:c r="G21" s="9" t="str">
        <x:v>Assigned Staff records action then resolves with note</x:v>
      </x:c>
      <x:c r="H21" s="9" t="str">
        <x:v>Action and note stored with correct actor/time and true previous values</x:v>
      </x:c>
      <x:c r="I21" s="9" t="str">
        <x:v>Missing/blank/type note, unauthorised resolver, illegal transition with valid note</x:v>
      </x:c>
      <x:c r="J21" s="9" t="str">
        <x:v>Exact SHA/environment; seed and pre/post data; API transcript plus browser recording/screens where UI is required; audit/notification/database evidence as applicable; result and defect/retest link.</x:v>
      </x:c>
      <x:c r="K21" s="9" t="str">
        <x:v>DESIGNED, NOT EXECUTED as full acceptance case</x:v>
      </x:c>
      <x:c r="L21" s="9" t="str">
        <x:v>Masego implements; Emile verifies</x:v>
      </x:c>
    </x:row>
    <x:row r="22" ht="70" customHeight="1">
      <x:c r="A22" s="10" t="str">
        <x:v>FV-17</x:v>
      </x:c>
      <x:c r="B22" s="10" t="str">
        <x:v>FR-017</x:v>
      </x:c>
      <x:c r="C22" s="10" t="str">
        <x:v>AC-017</x:v>
      </x:c>
      <x:c r="D22" s="10" t="str">
        <x:v>P0</x:v>
      </x:c>
      <x:c r="E22" s="10" t="str">
        <x:v>Seed synthetic requester A/B, Staff S/T, Manager M and Administrator Z with distinct stable identities. Use isolated data and controlled timestamps.</x:v>
      </x:c>
      <x:c r="F22" s="10" t="str">
        <x:v>Assigned Staff resolves; Manager closes; Staff closure attempted separately</x:v>
      </x:c>
      <x:c r="G22" s="10" t="str">
        <x:v>Assigned Staff resolves; Manager closes; Staff closure attempted separately</x:v>
      </x:c>
      <x:c r="H22" s="10" t="str">
        <x:v>Stored Closed and actor/time; Staff attempt refused without mutation</x:v>
      </x:c>
      <x:c r="I22" s="10" t="str">
        <x:v>Close New/In Progress, reopening policy, administrator policy</x:v>
      </x:c>
      <x:c r="J22" s="10" t="str">
        <x:v>Exact SHA/environment; seed and pre/post data; API transcript plus browser recording/screens where UI is required; audit/notification/database evidence as applicable; result and defect/retest link.</x:v>
      </x:c>
      <x:c r="K22" s="10" t="str">
        <x:v>DESIGNED, NOT EXECUTED as full acceptance case</x:v>
      </x:c>
      <x:c r="L22" s="10" t="str">
        <x:v>Masego implements; Emile verifies</x:v>
      </x:c>
    </x:row>
    <x:row r="23" ht="70" customHeight="1">
      <x:c r="A23" s="9" t="str">
        <x:v>FV-18</x:v>
      </x:c>
      <x:c r="B23" s="9" t="str">
        <x:v>FR-018</x:v>
      </x:c>
      <x:c r="C23" s="9" t="str">
        <x:v>AC-018</x:v>
      </x:c>
      <x:c r="D23" s="9" t="str">
        <x:v>P1</x:v>
      </x:c>
      <x:c r="E23" s="9" t="str">
        <x:v>Seed synthetic requester A/B, Staff S/T, Manager M and Administrator Z with distinct stable identities. Use isolated data and controlled timestamps.</x:v>
      </x:c>
      <x:c r="F23" s="9" t="str">
        <x:v>Manager and assigned Staff reject with reason; attempt missing reason and return path</x:v>
      </x:c>
      <x:c r="G23" s="9" t="str">
        <x:v>Manager and assigned Staff reject with reason; attempt missing reason and return path</x:v>
      </x:c>
      <x:c r="H23" s="9" t="str">
        <x:v>Rejected reason persists and requester notified; return semantics explicitly agreed</x:v>
      </x:c>
      <x:c r="I23" s="9" t="str">
        <x:v>Blank/type reason, unassigned staff, notification failure</x:v>
      </x:c>
      <x:c r="J23" s="9" t="str">
        <x:v>Exact SHA/environment; seed and pre/post data; API transcript plus browser recording/screens where UI is required; audit/notification/database evidence as applicable; result and defect/retest link.</x:v>
      </x:c>
      <x:c r="K23" s="9" t="str">
        <x:v>DESIGNED, NOT EXECUTED as full acceptance case</x:v>
      </x:c>
      <x:c r="L23" s="9" t="str">
        <x:v>Masego implements; Emile verifies</x:v>
      </x:c>
    </x:row>
    <x:row r="24" ht="70" customHeight="1">
      <x:c r="A24" s="10" t="str">
        <x:v>FV-19</x:v>
      </x:c>
      <x:c r="B24" s="10" t="str">
        <x:v>FR-019</x:v>
      </x:c>
      <x:c r="C24" s="10" t="str">
        <x:v>AC-019</x:v>
      </x:c>
      <x:c r="D24" s="10" t="str">
        <x:v>P1</x:v>
      </x:c>
      <x:c r="E24" s="10" t="str">
        <x:v>Seed synthetic requester A/B, Staff S/T, Manager M and Administrator Z with distinct stable identities. Use isolated data and controlled timestamps.</x:v>
      </x:c>
      <x:c r="F24" s="10" t="str">
        <x:v>Seed known per-period state data and open selected-period Manager dashboard</x:v>
      </x:c>
      <x:c r="G24" s="10" t="str">
        <x:v>Seed known per-period state data and open selected-period Manager dashboard</x:v>
      </x:c>
      <x:c r="H24" s="10" t="str">
        <x:v>Each displayed open/progress/overdue/resolved/closed count equals independent stored-record query</x:v>
      </x:c>
      <x:c r="I24" s="10" t="str">
        <x:v>Empty period, timezone/day boundaries, non-Manager role</x:v>
      </x:c>
      <x:c r="J24" s="10" t="str">
        <x:v>Exact SHA/environment; seed and pre/post data; API transcript plus browser recording/screens where UI is required; audit/notification/database evidence as applicable; result and defect/retest link.</x:v>
      </x:c>
      <x:c r="K24" s="10" t="str">
        <x:v>DESIGNED, NOT EXECUTED as full acceptance case</x:v>
      </x:c>
      <x:c r="L24" s="10" t="str">
        <x:v>Masego implements; Emile verifies</x:v>
      </x:c>
    </x:row>
    <x:row r="25" ht="70" customHeight="1">
      <x:c r="A25" s="9" t="str">
        <x:v>FV-20</x:v>
      </x:c>
      <x:c r="B25" s="9" t="str">
        <x:v>FR-020</x:v>
      </x:c>
      <x:c r="C25" s="9" t="str">
        <x:v>AC-020</x:v>
      </x:c>
      <x:c r="D25" s="9" t="str">
        <x:v>P1</x:v>
      </x:c>
      <x:c r="E25" s="9" t="str">
        <x:v>Seed synthetic requester A/B, Staff S/T, Manager M and Administrator Z with distinct stable identities. Use isolated data and controlled timestamps.</x:v>
      </x:c>
      <x:c r="F25" s="9" t="str">
        <x:v>Seed active categories including one zero count; request each breakdown</x:v>
      </x:c>
      <x:c r="G25" s="9" t="str">
        <x:v>Seed active categories including one zero count; request each breakdown</x:v>
      </x:c>
      <x:c r="H25" s="9" t="str">
        <x:v>All active categories represented; sum reconciles with period total; status/assignee/time correct</x:v>
      </x:c>
      <x:c r="I25" s="9" t="str">
        <x:v>Deactivated historical category policy, duplicate/missing group, denied role</x:v>
      </x:c>
      <x:c r="J25" s="9" t="str">
        <x:v>Exact SHA/environment; seed and pre/post data; API transcript plus browser recording/screens where UI is required; audit/notification/database evidence as applicable; result and defect/retest link.</x:v>
      </x:c>
      <x:c r="K25" s="9" t="str">
        <x:v>DESIGNED, NOT EXECUTED as full acceptance case</x:v>
      </x:c>
      <x:c r="L25" s="9" t="str">
        <x:v>Masego implements; Emile verifies</x:v>
      </x:c>
    </x:row>
    <x:row r="26" ht="70" customHeight="1">
      <x:c r="A26" s="10" t="str">
        <x:v>FV-21</x:v>
      </x:c>
      <x:c r="B26" s="10" t="str">
        <x:v>FR-021</x:v>
      </x:c>
      <x:c r="C26" s="10" t="str">
        <x:v>AC-021</x:v>
      </x:c>
      <x:c r="D26" s="10" t="str">
        <x:v>P1</x:v>
      </x:c>
      <x:c r="E26" s="10" t="str">
        <x:v>Seed synthetic requester A/B, Staff S/T, Manager M and Administrator Z with distinct stable identities. Use isolated data and controlled timestamps.</x:v>
      </x:c>
      <x:c r="F26" s="10" t="str">
        <x:v>Freeze clock, target T=24h provisional fixture; seed ages T-1,T,T+1 and terminal states</x:v>
      </x:c>
      <x:c r="G26" s="10" t="str">
        <x:v>Freeze clock, target T=24h provisional fixture; seed ages T-1,T,T+1 and terminal states</x:v>
      </x:c>
      <x:c r="H26" s="10" t="str">
        <x:v>Only non-terminal age&gt;T flagged; equality not overdue; fixture does not approve business target</x:v>
      </x:c>
      <x:c r="I26" s="10" t="str">
        <x:v>Null/invalid target, clock/timezone, reopened request semantics</x:v>
      </x:c>
      <x:c r="J26" s="10" t="str">
        <x:v>Exact SHA/environment; seed and pre/post data; API transcript plus browser recording/screens where UI is required; audit/notification/database evidence as applicable; result and defect/retest link.</x:v>
      </x:c>
      <x:c r="K26" s="10" t="str">
        <x:v>DESIGNED, NOT EXECUTED as full acceptance case</x:v>
      </x:c>
      <x:c r="L26" s="10" t="str">
        <x:v>Masego implements; Emile verifies</x:v>
      </x:c>
    </x:row>
    <x:row r="27" ht="70" customHeight="1">
      <x:c r="A27" s="9" t="str">
        <x:v>FV-22</x:v>
      </x:c>
      <x:c r="B27" s="9" t="str">
        <x:v>FR-022</x:v>
      </x:c>
      <x:c r="C27" s="9" t="str">
        <x:v>AC-022</x:v>
      </x:c>
      <x:c r="D27" s="9" t="str">
        <x:v>P1</x:v>
      </x:c>
      <x:c r="E27" s="9" t="str">
        <x:v>Seed synthetic requester A/B, Staff S/T, Manager M and Administrator Z with distinct stable identities. Use isolated data and controlled timestamps.</x:v>
      </x:c>
      <x:c r="F27" s="9" t="str">
        <x:v>Apply same filters to screen and CSV download</x:v>
      </x:c>
      <x:c r="G27" s="9" t="str">
        <x:v>Apply same filters to screen and CSV download</x:v>
      </x:c>
      <x:c r="H27" s="9" t="str">
        <x:v>Header plus exactly n matching data rows with identical field values</x:v>
      </x:c>
      <x:c r="I27" s="9" t="str">
        <x:v>Zero rows, commas/quotes/newlines, Unicode, formula-prefixed cell, denied role</x:v>
      </x:c>
      <x:c r="J27" s="9" t="str">
        <x:v>Exact SHA/environment; seed and pre/post data; API transcript plus browser recording/screens where UI is required; audit/notification/database evidence as applicable; result and defect/retest link.</x:v>
      </x:c>
      <x:c r="K27" s="9" t="str">
        <x:v>DESIGNED, NOT EXECUTED as full acceptance case</x:v>
      </x:c>
      <x:c r="L27" s="9" t="str">
        <x:v>Masego implements; Emile verifies</x:v>
      </x:c>
    </x:row>
    <x:row r="28" ht="70" customHeight="1">
      <x:c r="A28" s="10" t="str">
        <x:v>FV-23</x:v>
      </x:c>
      <x:c r="B28" s="10" t="str">
        <x:v>FR-023</x:v>
      </x:c>
      <x:c r="C28" s="10" t="str">
        <x:v>AC-023</x:v>
      </x:c>
      <x:c r="D28" s="10" t="str">
        <x:v>P1</x:v>
      </x:c>
      <x:c r="E28" s="10" t="str">
        <x:v>Seed synthetic requester A/B, Staff S/T, Manager M and Administrator Z with distinct stable identities. Use isolated data and controlled timestamps.</x:v>
      </x:c>
      <x:c r="F28" s="10" t="str">
        <x:v>Create Roads target24; rename and deactivate while old requests reference it</x:v>
      </x:c>
      <x:c r="G28" s="10" t="str">
        <x:v>Create Roads target24; rename and deactivate while old requests reference it</x:v>
      </x:c>
      <x:c r="H28" s="10" t="str">
        <x:v>No new submission to inactive category; existing requests retain valid historical relation; orphan deletion refused</x:v>
      </x:c>
      <x:c r="I28" s="10" t="str">
        <x:v>Duplicate POST, invalid target/type/name boundaries, non-admin update</x:v>
      </x:c>
      <x:c r="J28" s="10" t="str">
        <x:v>Exact SHA/environment; seed and pre/post data; API transcript plus browser recording/screens where UI is required; audit/notification/database evidence as applicable; result and defect/retest link.</x:v>
      </x:c>
      <x:c r="K28" s="10" t="str">
        <x:v>DESIGNED, NOT EXECUTED as full acceptance case</x:v>
      </x:c>
      <x:c r="L28" s="10" t="str">
        <x:v>Masego implements; Emile verifies</x:v>
      </x:c>
    </x:row>
    <x:row r="29" ht="70" customHeight="1">
      <x:c r="A29" s="9" t="str">
        <x:v>FV-24</x:v>
      </x:c>
      <x:c r="B29" s="9" t="str">
        <x:v>FR-024</x:v>
      </x:c>
      <x:c r="C29" s="9" t="str">
        <x:v>AC-024</x:v>
      </x:c>
      <x:c r="D29" s="9" t="str">
        <x:v>P0</x:v>
      </x:c>
      <x:c r="E29" s="9" t="str">
        <x:v>Seed synthetic requester A/B, Staff S/T, Manager M and Administrator Z with distinct stable identities. Use isolated data and controlled timestamps.</x:v>
      </x:c>
      <x:c r="F29" s="9" t="str">
        <x:v>Deactivate Staff with open work; try existing session and login; Manager reassigns</x:v>
      </x:c>
      <x:c r="G29" s="9" t="str">
        <x:v>Deactivate Staff with open work; try existing session and login; Manager reassigns</x:v>
      </x:c>
      <x:c r="H29" s="9" t="str">
        <x:v>Access revoked, work visible and reassignable; role/deactivation change audited</x:v>
      </x:c>
      <x:c r="I29" s="9" t="str">
        <x:v>Unauthorised admin action, invalid role, last-admin policy if adopted</x:v>
      </x:c>
      <x:c r="J29" s="9" t="str">
        <x:v>Exact SHA/environment; seed and pre/post data; API transcript plus browser recording/screens where UI is required; audit/notification/database evidence as applicable; result and defect/retest link.</x:v>
      </x:c>
      <x:c r="K29" s="9" t="str">
        <x:v>DESIGNED, NOT EXECUTED as full acceptance case</x:v>
      </x:c>
      <x:c r="L29" s="9" t="str">
        <x:v>Masego implements; Emile verifies</x:v>
      </x:c>
    </x:row>
    <x:row r="30" ht="70" customHeight="1">
      <x:c r="A30" s="10" t="str">
        <x:v>FV-25</x:v>
      </x:c>
      <x:c r="B30" s="10" t="str">
        <x:v>FR-025</x:v>
      </x:c>
      <x:c r="C30" s="10" t="str">
        <x:v>AC-025</x:v>
      </x:c>
      <x:c r="D30" s="10" t="str">
        <x:v>P0</x:v>
      </x:c>
      <x:c r="E30" s="10" t="str">
        <x:v>Seed synthetic requester A/B, Staff S/T, Manager M and Administrator Z with distinct stable identities. Use isolated data and controlled timestamps.</x:v>
      </x:c>
      <x:c r="F30" s="10" t="str">
        <x:v>Script k known assignment/status changes plus creation; inspect history and mutation routes</x:v>
      </x:c>
      <x:c r="G30" s="10" t="str">
        <x:v>Script k known assignment/status changes plus creation; inspect history and mutation routes</x:v>
      </x:c>
      <x:c r="H30" s="10" t="str">
        <x:v>Exactly k change events ordered with actor/UTC/true previous/new; creation separately labelled; audit immutable via app</x:v>
      </x:c>
      <x:c r="I30" s="10" t="str">
        <x:v>PATCH/DELETE, object alias mutation, refused transition, restart, token disclosure</x:v>
      </x:c>
      <x:c r="J30" s="10" t="str">
        <x:v>Exact SHA/environment; seed and pre/post data; API transcript plus browser recording/screens where UI is required; audit/notification/database evidence as applicable; result and defect/retest link.</x:v>
      </x:c>
      <x:c r="K30" s="10" t="str">
        <x:v>DESIGNED, NOT EXECUTED as full acceptance case</x:v>
      </x:c>
      <x:c r="L30" s="10" t="str">
        <x:v>Masego implements; Emile verifies</x:v>
      </x:c>
    </x:row>
    <x:row r="31" ht="70" customHeight="1">
      <x:c r="A31" s="9" t="str">
        <x:v>FV-26</x:v>
      </x:c>
      <x:c r="B31" s="9" t="str">
        <x:v>FR-026</x:v>
      </x:c>
      <x:c r="C31" s="9" t="str">
        <x:v>AC-026</x:v>
      </x:c>
      <x:c r="D31" s="9" t="str">
        <x:v>P2</x:v>
      </x:c>
      <x:c r="E31" s="9" t="str">
        <x:v>Seed synthetic requester A/B, Staff S/T, Manager M and Administrator Z with distinct stable identities. Use isolated data and controlled timestamps.</x:v>
      </x:c>
      <x:c r="F31" s="9" t="str">
        <x:v>Seed open Roads at QA location; submit same combination and choose cancel then confirm</x:v>
      </x:c>
      <x:c r="G31" s="9" t="str">
        <x:v>Seed open Roads at QA location; submit same combination and choose cancel then confirm</x:v>
      </x:c>
      <x:c r="H31" s="9" t="str">
        <x:v>Visible possible duplicate; cancel creates nothing, confirm permits exactly one request</x:v>
      </x:c>
      <x:c r="I31" s="9" t="str">
        <x:v>Different location/category, terminal existing request, case/whitespace matching policy</x:v>
      </x:c>
      <x:c r="J31" s="9" t="str">
        <x:v>Exact SHA/environment; seed and pre/post data; API transcript plus browser recording/screens where UI is required; audit/notification/database evidence as applicable; result and defect/retest link.</x:v>
      </x:c>
      <x:c r="K31" s="9" t="str">
        <x:v>DESIGNED, NOT EXECUTED as full acceptance case</x:v>
      </x:c>
      <x:c r="L31" s="9" t="str">
        <x:v>Masego implements; Emile verifies</x:v>
      </x:c>
    </x:row>
  </x:sheetData>
  <x:pageMargins left="0.7" right="0.7" top="0.75" bottom="0.75" header="0.3" footer="0.3"/>
  <x:tableParts count="1">
    <x:tablePart xmlns:r="http://schemas.openxmlformats.org/officeDocument/2006/relationships" r:id="R19c87ce17a484cea"/>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55" hidden="0" customWidth="1"/>
    <x:col min="3" max="3" width="16" hidden="0" customWidth="1"/>
    <x:col min="4" max="4" width="68" hidden="0" customWidth="1"/>
    <x:col min="5" max="5" width="32" hidden="0" customWidth="1"/>
    <x:col min="6" max="6" width="32" hidden="0" customWidth="1"/>
    <x:col min="7" max="7" width="68" hidden="0" customWidth="1"/>
    <x:col min="8" max="8" width="32" hidden="0" customWidth="1"/>
    <x:col min="9" max="9" width="32" hidden="0" customWidth="1"/>
    <x:col min="10" max="10" width="55" hidden="0" customWidth="1"/>
  </x:cols>
  <x:sheetData>
    <x:row r="2">
      <x:c r="A2" s="1" t="str">
        <x:v>NFR procedures</x:v>
      </x:c>
    </x:row>
    <x:row r="3">
      <x:c r="A3" t="str">
        <x:v>Reviewed main f874f5cba35cb326c7a3aabeaa0e183f4eedb4b4 | 17 October 2026 SAST | Recommendations; no repository edits or human signoff</x:v>
      </x:c>
    </x:row>
    <x:row r="4">
      <x:c r="A4" s="16" t="str">
        <x:v>Source: CivicConnect-QA-Review.html; pinned source locator and captured evidence folder</x:v>
      </x:c>
    </x:row>
    <x:row r="5" ht="36" customHeight="1">
      <x:c r="A5" s="8" t="str">
        <x:v>Case ID</x:v>
      </x:c>
      <x:c r="B5" s="8" t="str">
        <x:v>Requirement</x:v>
      </x:c>
      <x:c r="C5" s="8" t="str">
        <x:v>AC ID</x:v>
      </x:c>
      <x:c r="D5" s="8" t="str">
        <x:v>Exact acceptance criterion</x:v>
      </x:c>
      <x:c r="E5" s="8" t="str">
        <x:v>Current disposition</x:v>
      </x:c>
      <x:c r="F5" s="8" t="str">
        <x:v>Existing evidence</x:v>
      </x:c>
      <x:c r="G5" s="8" t="str">
        <x:v>Procedure and threshold</x:v>
      </x:c>
      <x:c r="H5" s="8" t="str">
        <x:v>Evidence caveat</x:v>
      </x:c>
      <x:c r="I5" s="8" t="str">
        <x:v>Recommended owner</x:v>
      </x:c>
      <x:c r="J5" s="8" t="str">
        <x:v>Result</x:v>
      </x:c>
    </x:row>
    <x:row r="6" ht="70" customHeight="1">
      <x:c r="A6" s="10" t="str">
        <x:v>NV-01</x:v>
      </x:c>
      <x:c r="B6" s="10" t="str">
        <x:v>NFR-001</x:v>
      </x:c>
      <x:c r="C6" s="10" t="str">
        <x:v>AC-N001</x:v>
      </x:c>
      <x:c r="D6" s="10" t="str">
        <x:v>A load test of 10 concurrent users over 5 minutes against a 500-record data set reports a 95th percentile response time of 2.0 seconds or less. Cold-start latency is measured and reported separately (see NFR-002).</x:v>
      </x:c>
      <x:c r="E6" s="10" t="str">
        <x:v>GAP</x:v>
      </x:c>
      <x:c r="F6" s="10" t="str">
        <x:v>CI synthetic run: 25 success, 0 failure, p95 42.087963ms</x:v>
      </x:c>
      <x:c r="G6" s="10" t="str">
        <x:v>500 seeded records, warm instance, 10 concurrent users for 300 seconds on filtered GET. Save raw samples/errors, p95 &lt;=2000ms and separate cold-start result.</x:v>
      </x:c>
      <x:c r="H6" s="10" t="str">
        <x:v>No functional filtered list exists; implement FR-012 before performance certification.</x:v>
      </x:c>
      <x:c r="I6" s="10" t="str">
        <x:v>Don</x:v>
      </x:c>
      <x:c r="J6" s="10" t="str">
        <x:v>NOT ACCEPTED; execution still required</x:v>
      </x:c>
    </x:row>
    <x:row r="7" ht="70" customHeight="1">
      <x:c r="A7" s="9" t="str">
        <x:v>NV-02</x:v>
      </x:c>
      <x:c r="B7" s="9" t="str">
        <x:v>NFR-002</x:v>
      </x:c>
      <x:c r="C7" s="9" t="str">
        <x:v>AC-N002</x:v>
      </x:c>
      <x:c r="D7" s="9" t="str">
        <x:v>An uptime log across the evaluation period shows availability of 95% or more within the stated window, and the observed cold-start latency is recorded as a known limitation in the PED.</x:v>
      </x:c>
      <x:c r="E7" s="9" t="str">
        <x:v>AWAITING EVIDENCE</x:v>
      </x:c>
      <x:c r="F7" s="9" t="str">
        <x:v>No uptime execution evidence located</x:v>
      </x:c>
      <x:c r="G7" s="9" t="str">
        <x:v>Record evaluation period and weekday 07:00-18:00 SAST probes. Availability &gt;=95% over that window, probe failures and denominator preserved; record observed cold start and accepted &lt;=30-second limitation.</x:v>
      </x:c>
      <x:c r="H7" s="9" t="str">
        <x:v>A single local 200 does not prove availability.</x:v>
      </x:c>
      <x:c r="I7" s="9" t="str">
        <x:v>Don</x:v>
      </x:c>
      <x:c r="J7" s="9" t="str">
        <x:v>NOT ACCEPTED; execution still required</x:v>
      </x:c>
    </x:row>
    <x:row r="8" ht="70" customHeight="1">
      <x:c r="A8" s="10" t="str">
        <x:v>NV-03</x:v>
      </x:c>
      <x:c r="B8" s="10" t="str">
        <x:v>NFR-003</x:v>
      </x:c>
      <x:c r="C8" s="10" t="str">
        <x:v>AC-N003</x:v>
      </x:c>
      <x:c r="D8" s="10" t="str">
        <x:v>Inspection of the stored user records shows no plaintext or reversible password value, and code review confirms the hashing algorithm and cost factor.</x:v>
      </x:c>
      <x:c r="E8" s="10" t="str">
        <x:v>GAP</x:v>
      </x:c>
      <x:c r="F8" s="10" t="str">
        <x:v>No hash inspection evidence</x:v>
      </x:c>
      <x:c r="G8" s="10" t="str">
        <x:v>After approved identity choice, inspect synthetic stored records and implementation for bcrypt cost &gt;=10 or Argon2id. If managed provider, document actual storage assurance and scope; no vacuous pass because passwords are absent.</x:v>
      </x:c>
      <x:c r="H8" s="10" t="str">
        <x:v>FR-001/002 account lifecycle dependency.</x:v>
      </x:c>
      <x:c r="I8" s="10" t="str">
        <x:v>Don</x:v>
      </x:c>
      <x:c r="J8" s="10" t="str">
        <x:v>NOT ACCEPTED; execution still required</x:v>
      </x:c>
    </x:row>
    <x:row r="9" ht="70" customHeight="1">
      <x:c r="A9" s="9" t="str">
        <x:v>NV-04</x:v>
      </x:c>
      <x:c r="B9" s="9" t="str">
        <x:v>NFR-004</x:v>
      </x:c>
      <x:c r="C9" s="9" t="str">
        <x:v>AC-N004</x:v>
      </x:c>
      <x:c r="D9" s="9" t="str">
        <x:v>An automated test matrix covering every role against every restricted operation reports zero unauthorised successes.</x:v>
      </x:c>
      <x:c r="E9" s="9" t="str">
        <x:v>FAILED</x:v>
      </x:c>
      <x:c r="F9" s="9" t="str">
        <x:v>TST-008,011,015,018,023,025; QA-P07</x:v>
      </x:c>
      <x:c r="G9" s="9" t="str">
        <x:v>Cross each role, unauthenticated and invalid token with every restricted operation and resource-ownership relation. Assert authorisation error and unchanged complete state/audit on denial; zero unauthorised successes.</x:v>
      </x:c>
      <x:c r="H9" s="9" t="str">
        <x:v>Current test labels do not constitute an exhaustive matrix.</x:v>
      </x:c>
      <x:c r="I9" s="9" t="str">
        <x:v>Don with Masego</x:v>
      </x:c>
      <x:c r="J9" s="9" t="str">
        <x:v>NOT ACCEPTED; execution still required</x:v>
      </x:c>
    </x:row>
    <x:row r="10" ht="98" customHeight="1">
      <x:c r="A10" s="10" t="str">
        <x:v>NV-05</x:v>
      </x:c>
      <x:c r="B10" s="10" t="str">
        <x:v>NFR-005</x:v>
      </x:c>
      <x:c r="C10" s="10" t="str">
        <x:v>AC-N005</x:v>
      </x:c>
      <x:c r="D10" s="10" t="str">
        <x:v>An automated secret scan on every pull request and a full-history scan both report zero findings.</x:v>
      </x:c>
      <x:c r="E10" s="10" t="str">
        <x:v>FAILED / EVIDENCE GAP</x:v>
      </x:c>
      <x:c r="F10" s="10" t="str">
        <x:v>CI main scan passes; log range is --no-merges --first-parent and 0 commits scanned</x:v>
      </x:c>
      <x:c r="G10" s="10" t="str">
        <x:v>Run explicitly full reachable-history scanner including merged feature commits; record scanner/version/config/ref range and zero findings. Remove functional demo secrets from committed examples/UI and rotate if used. Obtain actual native control evidence.</x:v>
      </x:c>
      <x:c r="H10" s="10" t="str">
        <x:v>Synthetic fixtures are not proof of real credential exposure; committed demo values are functional under shipped config, conflicting with literal no-token requirement.</x:v>
      </x:c>
      <x:c r="I10" s="10" t="str">
        <x:v>Don</x:v>
      </x:c>
      <x:c r="J10" s="10" t="str">
        <x:v>NOT ACCEPTED; execution still required</x:v>
      </x:c>
    </x:row>
    <x:row r="11" ht="84" customHeight="1">
      <x:c r="A11" s="9" t="str">
        <x:v>NV-06</x:v>
      </x:c>
      <x:c r="B11" s="9" t="str">
        <x:v>NFR-006</x:v>
      </x:c>
      <x:c r="C11" s="9" t="str">
        <x:v>AC-N006</x:v>
      </x:c>
      <x:c r="D11" s="9" t="str">
        <x:v>For a scripted sequence of k changes, the audit record contains exactly k entries with all four fields populated, and no application endpoint accepts an update or delete against an audit entry.</x:v>
      </x:c>
      <x:c r="E11" s="9" t="str">
        <x:v>FAILED</x:v>
      </x:c>
      <x:c r="F11" s="9" t="str">
        <x:v>TST-019,022,028; QA-P01,P02,P09</x:v>
      </x:c>
      <x:c r="G11" s="9" t="str">
        <x:v>Script k status/assignment changes; inspect exact actor, UTC, old/new and order for every change. Separately account for creation event. Refused operations preserve data; PATCH/DELETE audit rejected; verify durable design if claimed.</x:v>
      </x:c>
      <x:c r="H11" s="9" t="str">
        <x:v>No additional cryptographic tamper-evidence threshold is invented; durability also follows NFR-011 and release gates.</x:v>
      </x:c>
      <x:c r="I11" s="9" t="str">
        <x:v>Don with Masego</x:v>
      </x:c>
      <x:c r="J11" s="9" t="str">
        <x:v>NOT ACCEPTED; execution still required</x:v>
      </x:c>
    </x:row>
    <x:row r="12" ht="70" customHeight="1">
      <x:c r="A12" s="10" t="str">
        <x:v>NV-07</x:v>
      </x:c>
      <x:c r="B12" s="10" t="str">
        <x:v>NFR-007</x:v>
      </x:c>
      <x:c r="C12" s="10" t="str">
        <x:v>AC-N007</x:v>
      </x:c>
      <x:c r="D12" s="10" t="str">
        <x:v>In a moderated test with 5 representative participants, at least 4 complete a valid submission unaided within 3 minutes.</x:v>
      </x:c>
      <x:c r="E12" s="10" t="str">
        <x:v>AWAITING EVIDENCE</x:v>
      </x:c>
      <x:c r="F12" s="10" t="str">
        <x:v>TST-026 only checks HTML text</x:v>
      </x:c>
      <x:c r="G12" s="10" t="str">
        <x:v>Moderated unaided test with 5 representative participants, &gt;=4 valid submissions &lt;=180 seconds. Record consent-appropriate anonymised tasks/times/outcomes/screens/help. Do not invent participants or human observation.</x:v>
      </x:c>
      <x:c r="H12" s="10" t="str">
        <x:v>Synthetic browser tests cannot replace representative participant results.</x:v>
      </x:c>
      <x:c r="I12" s="10" t="str">
        <x:v>Emile with Masego</x:v>
      </x:c>
      <x:c r="J12" s="10" t="str">
        <x:v>NOT ACCEPTED; execution still required</x:v>
      </x:c>
    </x:row>
    <x:row r="13" ht="84" customHeight="1">
      <x:c r="A13" s="9" t="str">
        <x:v>NV-08</x:v>
      </x:c>
      <x:c r="B13" s="9" t="str">
        <x:v>NFR-008</x:v>
      </x:c>
      <x:c r="C13" s="9" t="str">
        <x:v>AC-N008</x:v>
      </x:c>
      <x:c r="D13" s="9" t="str">
        <x:v>An automated accessibility check reports zero contrast or missing-label violations on the submission and request-detail screens, and the submission flow is completed using keyboard input only.</x:v>
      </x:c>
      <x:c r="E13" s="9" t="str">
        <x:v>PARTIAL</x:v>
      </x:c>
      <x:c r="F13" s="9" t="str">
        <x:v>TST-026 is route/string smoke only</x:v>
      </x:c>
      <x:c r="G13" s="9" t="str">
        <x:v>Automated contrast and label scan on submission and request-detail screens with zero violations, body contrast &gt;=4.5:1, plus recorded keyboard-only submission. Save tool/version/viewport/report and walkthrough; verify focus and error association.</x:v>
      </x:c>
      <x:c r="H13" s="9" t="str">
        <x:v>No claim of WCAG certification beyond specified subset.</x:v>
      </x:c>
      <x:c r="I13" s="9" t="str">
        <x:v>Emile with Masego</x:v>
      </x:c>
      <x:c r="J13" s="9" t="str">
        <x:v>NOT ACCEPTED; execution still required</x:v>
      </x:c>
    </x:row>
    <x:row r="14" ht="70" customHeight="1">
      <x:c r="A14" s="10" t="str">
        <x:v>NV-09</x:v>
      </x:c>
      <x:c r="B14" s="10" t="str">
        <x:v>NFR-009</x:v>
      </x:c>
      <x:c r="C14" s="10" t="str">
        <x:v>AC-N009</x:v>
      </x:c>
      <x:c r="D14" s="10" t="str">
        <x:v>The pipeline coverage report shows 70% or more line coverage for the business/service layer and the static-analysis stage reports zero critical findings.</x:v>
      </x:c>
      <x:c r="E14" s="10" t="str">
        <x:v>PARTIAL</x:v>
      </x:c>
      <x:c r="F14" s="10" t="str">
        <x:v>Local Node24 app.js line97.78%, branch71.76%; CodeQL job success</x:v>
      </x:c>
      <x:c r="G14" s="10" t="str">
        <x:v>Pipeline report must show &gt;=70% lines for defined business/service layer and zero critical static findings. Separate embedded client string from executed browser JS; obtain actual alert/SARIF result rather than job success alone.</x:v>
      </x:c>
      <x:c r="H14" s="10" t="str">
        <x:v>Local diagnostic coverage is not pipeline compliance; JavaScript strings count as covered on import.</x:v>
      </x:c>
      <x:c r="I14" s="10" t="str">
        <x:v>Don with Emile</x:v>
      </x:c>
      <x:c r="J14" s="10" t="str">
        <x:v>NOT ACCEPTED; execution still required</x:v>
      </x:c>
    </x:row>
    <x:row r="15" ht="70" customHeight="1">
      <x:c r="A15" s="9" t="str">
        <x:v>NV-10</x:v>
      </x:c>
      <x:c r="B15" s="9" t="str">
        <x:v>NFR-010</x:v>
      </x:c>
      <x:c r="C15" s="9" t="str">
        <x:v>AC-N010</x:v>
      </x:c>
      <x:c r="D15" s="9" t="str">
        <x:v>A platform cost review lists every service in use, its free-tier limit, current consumption against that limit, and a costed projection at the stated volume.</x:v>
      </x:c>
      <x:c r="E15" s="9" t="str">
        <x:v>AWAITING EVIDENCE</x:v>
      </x:c>
      <x:c r="F15" s="9" t="str">
        <x:v>None</x:v>
      </x:c>
      <x:c r="G15" s="9" t="str">
        <x:v>List every service, currency, free-tier limits/current consumption and recurring R0.00 review. Project 100 active users/1000 requests monthly, including email/storage/backup/egress. Preserve dated provider terms and volume assumptions.</x:v>
      </x:c>
      <x:c r="H15" s="9" t="str">
        <x:v>No paid-platform selection or financial commitment is made by this review.</x:v>
      </x:c>
      <x:c r="I15" s="9" t="str">
        <x:v>Don</x:v>
      </x:c>
      <x:c r="J15" s="9" t="str">
        <x:v>NOT ACCEPTED; execution still required</x:v>
      </x:c>
    </x:row>
    <x:row r="16" ht="70" customHeight="1">
      <x:c r="A16" s="10" t="str">
        <x:v>NV-11</x:v>
      </x:c>
      <x:c r="B16" s="10" t="str">
        <x:v>NFR-011</x:v>
      </x:c>
      <x:c r="C16" s="10" t="str">
        <x:v>AC-N011</x:v>
      </x:c>
      <x:c r="D16" s="10" t="str">
        <x:v>A backup schedule is evidenced, and a restore into a clean environment is performed and timed, producing a data set matching the source at the backup point within the stated RTO.</x:v>
      </x:c>
      <x:c r="E16" s="10" t="str">
        <x:v>FAILED</x:v>
      </x:c>
      <x:c r="F16" s="10" t="str">
        <x:v>QA-P10: 2 records before, 0 after new instance</x:v>
      </x:c>
      <x:c r="G16" s="10" t="str">
        <x:v>Evidence daily schedule, backup timestamp and dataset; restore to clean environment and time &lt;=4h with data matching backup, RPO &lt;=24h. Include attachments only if approved scope.</x:v>
      </x:c>
      <x:c r="H16" s="10" t="str">
        <x:v>M4 adds no new backup quota, but this original Should commitment remains applicable unless formally changed.</x:v>
      </x:c>
      <x:c r="I16" s="10" t="str">
        <x:v>Don</x:v>
      </x:c>
      <x:c r="J16" s="10" t="str">
        <x:v>NOT ACCEPTED; execution still required</x:v>
      </x:c>
    </x:row>
    <x:row r="17" ht="98" customHeight="1">
      <x:c r="A17" s="9" t="str">
        <x:v>NV-12</x:v>
      </x:c>
      <x:c r="B17" s="9" t="str">
        <x:v>NFR-012</x:v>
      </x:c>
      <x:c r="C17" s="9" t="str">
        <x:v>AC-N012</x:v>
      </x:c>
      <x:c r="D17" s="9" t="str">
        <x:v>Negative-access tests confirm that a Requester and an unassigned Staff user cannot retrieve another requester's contact details through any interface, including direct record access.</x:v>
      </x:c>
      <x:c r="E17" s="9" t="str">
        <x:v>AWAITING EVIDENCE / SECURITY FAILURE</x:v>
      </x:c>
      <x:c r="F17" s="9" t="str">
        <x:v>TST-018 unrelated to actual contact fields; QA-P07</x:v>
      </x:c>
      <x:c r="G17" s="9" t="str">
        <x:v>Seed distinct synthetic contact values and test Requester/unassigned Staff cannot retrieve another requester contact through UI/list/detail/history/export/comments. Test assigned Staff/Manager/Admin allowed by policy. Mask tokens independently.</x:v>
      </x:c>
      <x:c r="H17" s="9" t="str">
        <x:v>Cannot pass privacy merely because contact model is absent. Token leak is a confirmed security defect, not evidence that contact-specific AC was tested.</x:v>
      </x:c>
      <x:c r="I17" s="9" t="str">
        <x:v>Don with Masego</x:v>
      </x:c>
      <x:c r="J17" s="9" t="str">
        <x:v>NOT ACCEPTED; execution still required</x:v>
      </x:c>
    </x:row>
    <x:row r="18" ht="70" customHeight="1">
      <x:c r="A18" s="10" t="str">
        <x:v>NV-13</x:v>
      </x:c>
      <x:c r="B18" s="10" t="str">
        <x:v>NFR-013</x:v>
      </x:c>
      <x:c r="C18" s="10" t="str">
        <x:v>AC-N013</x:v>
      </x:c>
      <x:c r="D18" s="10" t="str">
        <x:v>With 500 users and 5 000 requests seeded, storage consumption remains inside the documented free-tier limit and the NFR-001 load test still passes.</x:v>
      </x:c>
      <x:c r="E18" s="10" t="str">
        <x:v>GAP</x:v>
      </x:c>
      <x:c r="F18" s="10" t="str">
        <x:v>None</x:v>
      </x:c>
      <x:c r="G18" s="10" t="str">
        <x:v>Seed 500 actual synthetic accounts and 5000 requests, measure selected service storage vs free tier; rerun NFR-001 load with required filtered result cardinality and dataset context. Record storage/index overhead and capacity failures.</x:v>
      </x:c>
      <x:c r="H18" s="10" t="str">
        <x:v>Do not reduce 5000-record seeded dataset to the 500-record NFR-001 fixture without explaining workload.</x:v>
      </x:c>
      <x:c r="I18" s="10" t="str">
        <x:v>Don</x:v>
      </x:c>
      <x:c r="J18" s="10" t="str">
        <x:v>NOT ACCEPTED; execution still required</x:v>
      </x:c>
    </x:row>
    <x:row r="19" ht="98" customHeight="1">
      <x:c r="A19" s="9" t="str">
        <x:v>NV-14</x:v>
      </x:c>
      <x:c r="B19" s="9" t="str">
        <x:v>NFR-014</x:v>
      </x:c>
      <x:c r="C19" s="9" t="str">
        <x:v>AC-N014</x:v>
      </x:c>
      <x:c r="D19" s="9" t="str">
        <x:v>For each input field, a boundary and an invalid-type case are submitted with client-side validation bypassed; every case is rejected server-side with a field-level message and the retained form values are redisplayed.</x:v>
      </x:c>
      <x:c r="E19" s="9" t="str">
        <x:v>PARTIAL</x:v>
      </x:c>
      <x:c r="F19" s="9" t="str">
        <x:v>TST-002..007,021; QA-P01</x:v>
      </x:c>
      <x:c r="G19" s="9" t="str">
        <x:v>For each field across every operation, send boundary and invalid type with client validation bypassed; field-level error and retained form values. Test title 2/3/120/121, desc9/10/2000/2001, location0/1/300/301 and category59/60/61 where relevant.</x:v>
      </x:c>
      <x:c r="H19" s="9" t="str">
        <x:v>Category target/name and assignment/status payloads need validation too. Limits beyond approved criteria are proposed engineering contracts, not baseline edits.</x:v>
      </x:c>
      <x:c r="I19" s="9" t="str">
        <x:v>Masego with Emile</x:v>
      </x:c>
      <x:c r="J19" s="9" t="str">
        <x:v>NOT ACCEPTED; execution still required</x:v>
      </x:c>
    </x:row>
  </x:sheetData>
  <x:conditionalFormatting sqref="E6:E19">
    <x:cfRule type="containsText" dxfId="4" priority="1" operator="containsText" text="FAILED"/>
    <x:cfRule type="containsText" dxfId="5" priority="2" operator="containsText" text="GAP"/>
  </x:conditionalFormatting>
  <x:pageMargins left="0.7" right="0.7" top="0.75" bottom="0.75" header="0.3" footer="0.3"/>
  <x:tableParts count="1">
    <x:tablePart xmlns:r="http://schemas.openxmlformats.org/officeDocument/2006/relationships" r:id="R6349e0016b754176"/>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5" hidden="0" customWidth="1"/>
    <x:col min="2" max="2" width="32" hidden="0" customWidth="1"/>
    <x:col min="3" max="3" width="32" hidden="0" customWidth="1"/>
    <x:col min="4" max="4" width="32" hidden="0" customWidth="1"/>
    <x:col min="5" max="5" width="32" hidden="0" customWidth="1"/>
    <x:col min="6" max="6" width="32" hidden="0" customWidth="1"/>
    <x:col min="7" max="7" width="32" hidden="0" customWidth="1"/>
    <x:col min="8" max="8" width="55" hidden="0" customWidth="1"/>
    <x:col min="9" max="9" width="55" hidden="0" customWidth="1"/>
  </x:cols>
  <x:sheetData>
    <x:row r="2">
      <x:c r="A2" s="1" t="str">
        <x:v>Registers</x:v>
      </x:c>
    </x:row>
    <x:row r="3">
      <x:c r="A3" t="str">
        <x:v>Reviewed main f874f5cba35cb326c7a3aabeaa0e183f4eedb4b4 | 17 October 2026 SAST | Recommendations; no repository edits or human signoff</x:v>
      </x:c>
    </x:row>
    <x:row r="4">
      <x:c r="A4" s="16" t="str">
        <x:v>Source: CivicConnect-QA-Review.html; pinned source locator and captured evidence folder</x:v>
      </x:c>
    </x:row>
    <x:row r="5" ht="36" customHeight="1">
      <x:c r="A5" s="8" t="str">
        <x:v>Register</x:v>
      </x:c>
      <x:c r="B5" s="8" t="str">
        <x:v>Existing ID/row</x:v>
      </x:c>
      <x:c r="C5" s="8" t="str">
        <x:v>Current status</x:v>
      </x:c>
      <x:c r="D5" s="8" t="str">
        <x:v>Recommended disposition</x:v>
      </x:c>
      <x:c r="E5" s="8" t="str">
        <x:v>Evidence/impact</x:v>
      </x:c>
      <x:c r="F5" s="8" t="str">
        <x:v>Owner</x:v>
      </x:c>
      <x:c r="G5" s="8" t="str">
        <x:v>Required closure/retest evidence</x:v>
      </x:c>
      <x:c r="H5" s="8" t="str">
        <x:v>Historical severity/score</x:v>
      </x:c>
      <x:c r="I5" s="8" t="str">
        <x:v>Action state</x:v>
      </x:c>
    </x:row>
    <x:row r="6" ht="84" customHeight="1">
      <x:c r="A6" s="10" t="str">
        <x:v>Risk</x:v>
      </x:c>
      <x:c r="B6" s="10" t="str">
        <x:v>RSK-01</x:v>
      </x:c>
      <x:c r="C6" s="10" t="str">
        <x:v>Open</x:v>
      </x:c>
      <x:c r="D6" s="10" t="str">
        <x:v>Open; change-control evidence incomplete</x:v>
      </x:c>
      <x:c r="E6" s="10" t="str">
        <x:v>CHG-001 is draft/deferred; no actual lecturer/sponsor request evidence located. Maintain original baseline until approved change.</x:v>
      </x:c>
      <x:c r="F6" s="10" t="str">
        <x:v>Emile</x:v>
      </x:c>
      <x:c r="G6" s="10" t="str">
        <x:v>Traceable request, impact analysis, real approval and resulting baseline refs</x:v>
      </x:c>
      <x:c r="H6" s="10" t="str">
        <x:v>Critical / 20</x:v>
      </x:c>
      <x:c r="I6" s="10" t="str">
        <x:v>RECOMMENDATION ONLY</x:v>
      </x:c>
    </x:row>
    <x:row r="7" ht="56" customHeight="1">
      <x:c r="A7" s="9" t="str">
        <x:v>Risk</x:v>
      </x:c>
      <x:c r="B7" s="9" t="str">
        <x:v>RSK-02</x:v>
      </x:c>
      <x:c r="C7" s="9" t="str">
        <x:v>Open</x:v>
      </x:c>
      <x:c r="D7" s="9" t="str">
        <x:v>Open; unmeasured</x:v>
      </x:c>
      <x:c r="E7" s="9" t="str">
        <x:v>Host undecided; synthetic runner is not warm filtered-list/uptime/capacity evidence.</x:v>
      </x:c>
      <x:c r="F7" s="9" t="str">
        <x:v>Don</x:v>
      </x:c>
      <x:c r="G7" s="9" t="str">
        <x:v>NFR-001/002/010/013 actual host results and limitations</x:v>
      </x:c>
      <x:c r="H7" s="9" t="str">
        <x:v>High / 16</x:v>
      </x:c>
      <x:c r="I7" s="9" t="str">
        <x:v>RECOMMENDATION ONLY</x:v>
      </x:c>
    </x:row>
    <x:row r="8" ht="56" customHeight="1">
      <x:c r="A8" s="10" t="str">
        <x:v>Risk</x:v>
      </x:c>
      <x:c r="B8" s="10" t="str">
        <x:v>RSK-03</x:v>
      </x:c>
      <x:c r="C8" s="10" t="str">
        <x:v>Open</x:v>
      </x:c>
      <x:c r="D8" s="10" t="str">
        <x:v>Open; unverified compatibility</x:v>
      </x:c>
      <x:c r="E8" s="10" t="str">
        <x:v>No campus-platform verification by more than one member located.</x:v>
      </x:c>
      <x:c r="F8" s="10" t="str">
        <x:v>Don</x:v>
      </x:c>
      <x:c r="G8" s="10" t="str">
        <x:v>Measured institutional environment evidence and approved DEC-008</x:v>
      </x:c>
      <x:c r="H8" s="10" t="str">
        <x:v>High / 15</x:v>
      </x:c>
      <x:c r="I8" s="10" t="str">
        <x:v>RECOMMENDATION ONLY</x:v>
      </x:c>
    </x:row>
    <x:row r="9" ht="70" customHeight="1">
      <x:c r="A9" s="9" t="str">
        <x:v>Risk</x:v>
      </x:c>
      <x:c r="B9" s="9" t="str">
        <x:v>RSK-04</x:v>
      </x:c>
      <x:c r="C9" s="9" t="str">
        <x:v>Open</x:v>
      </x:c>
      <x:c r="D9" s="9" t="str">
        <x:v>Open; control deviation observed</x:v>
      </x:c>
      <x:c r="E9" s="9" t="str">
        <x:v>Main protected:false, ruleset disabled, six M3 PRs lack required approvals. Deadlock risk does not justify bypass.</x:v>
      </x:c>
      <x:c r="F9" s="9" t="str">
        <x:v>Don</x:v>
      </x:c>
      <x:c r="G9" s="9" t="str">
        <x:v>Restored settings, legitimate two non-author reviews, dated deviation record</x:v>
      </x:c>
      <x:c r="H9" s="9" t="str">
        <x:v>High / 12</x:v>
      </x:c>
      <x:c r="I9" s="9" t="str">
        <x:v>RECOMMENDATION ONLY</x:v>
      </x:c>
    </x:row>
    <x:row r="10" ht="56" customHeight="1">
      <x:c r="A10" s="10" t="str">
        <x:v>Risk</x:v>
      </x:c>
      <x:c r="B10" s="10" t="str">
        <x:v>RSK-05</x:v>
      </x:c>
      <x:c r="C10" s="10" t="str">
        <x:v>Open</x:v>
      </x:c>
      <x:c r="D10" s="10" t="str">
        <x:v>Open; target validation pending</x:v>
      </x:c>
      <x:c r="E10" s="10" t="str">
        <x:v>targetHours exists but no overdue behavior or authorised target values.</x:v>
      </x:c>
      <x:c r="F10" s="10" t="str">
        <x:v>Masego</x:v>
      </x:c>
      <x:c r="G10" s="10" t="str">
        <x:v>Lecturer/proxy target decision and T-1/T/T+1 evidence</x:v>
      </x:c>
      <x:c r="H10" s="10" t="str">
        <x:v>High / 12</x:v>
      </x:c>
      <x:c r="I10" s="10" t="str">
        <x:v>RECOMMENDATION ONLY</x:v>
      </x:c>
    </x:row>
    <x:row r="11" ht="70" customHeight="1">
      <x:c r="A11" s="9" t="str">
        <x:v>Risk</x:v>
      </x:c>
      <x:c r="B11" s="9" t="str">
        <x:v>RSK-06</x:v>
      </x:c>
      <x:c r="C11" s="9" t="str">
        <x:v>Open</x:v>
      </x:c>
      <x:c r="D11" s="9" t="str">
        <x:v>Open; scan assurance gap</x:v>
      </x:c>
      <x:c r="E11" s="9" t="str">
        <x:v>Shipped demo tokens are functional; latest Gitleaks scans0 commits. No real production secret exposure asserted.</x:v>
      </x:c>
      <x:c r="F11" s="9" t="str">
        <x:v>Don</x:v>
      </x:c>
      <x:c r="G11" s="9" t="str">
        <x:v>Full reachable-history scan, isolated synthetic config, revoke actually exposed credentials if any</x:v>
      </x:c>
      <x:c r="H11" s="9" t="str">
        <x:v>High / 15</x:v>
      </x:c>
      <x:c r="I11" s="9" t="str">
        <x:v>RECOMMENDATION ONLY</x:v>
      </x:c>
    </x:row>
    <x:row r="12" ht="56" customHeight="1">
      <x:c r="A12" s="10" t="str">
        <x:v>Risk</x:v>
      </x:c>
      <x:c r="B12" s="10" t="str">
        <x:v>RSK-07</x:v>
      </x:c>
      <x:c r="C12" s="10" t="str">
        <x:v>Open</x:v>
      </x:c>
      <x:c r="D12" s="10" t="str">
        <x:v>Open; human review pending</x:v>
      </x:c>
      <x:c r="E12" s="10" t="str">
        <x:v>AI-011 remains pending; new machine-assisted review needs named human review.</x:v>
      </x:c>
      <x:c r="F12" s="10" t="str">
        <x:v>Emile</x:v>
      </x:c>
      <x:c r="G12" s="10" t="str">
        <x:v>Precise AI declaration, reviewers and checks actually performed</x:v>
      </x:c>
      <x:c r="H12" s="10" t="str">
        <x:v>High / 16</x:v>
      </x:c>
      <x:c r="I12" s="10" t="str">
        <x:v>RECOMMENDATION ONLY</x:v>
      </x:c>
    </x:row>
    <x:row r="13" ht="70" customHeight="1">
      <x:c r="A13" s="9" t="str">
        <x:v>Risk</x:v>
      </x:c>
      <x:c r="B13" s="9" t="str">
        <x:v>RSK-08</x:v>
      </x:c>
      <x:c r="C13" s="9" t="str">
        <x:v>Open</x:v>
      </x:c>
      <x:c r="D13" s="9" t="str">
        <x:v>Open; no expansion authorised</x:v>
      </x:c>
      <x:c r="E13" s="9" t="str">
        <x:v>Deferred channels/attachments/analytics remain distinct from unmet original Must commitments.</x:v>
      </x:c>
      <x:c r="F13" s="9" t="str">
        <x:v>Masego</x:v>
      </x:c>
      <x:c r="G13" s="9" t="str">
        <x:v>Scope reflection and any valid approved changes, not feature additions for marks</x:v>
      </x:c>
      <x:c r="H13" s="9" t="str">
        <x:v>Medium / 9</x:v>
      </x:c>
      <x:c r="I13" s="9" t="str">
        <x:v>RECOMMENDATION ONLY</x:v>
      </x:c>
    </x:row>
    <x:row r="14" ht="56" customHeight="1">
      <x:c r="A14" s="10" t="str">
        <x:v>Risk</x:v>
      </x:c>
      <x:c r="B14" s="10" t="str">
        <x:v>RSK-09</x:v>
      </x:c>
      <x:c r="C14" s="10" t="str">
        <x:v>Open</x:v>
      </x:c>
      <x:c r="D14" s="10" t="str">
        <x:v>Open; contribution verification pending</x:v>
      </x:c>
      <x:c r="E14" s="10" t="str">
        <x:v>PR records do not prove individual understanding or genuine cross-workstream review.</x:v>
      </x:c>
      <x:c r="F14" s="10" t="str">
        <x:v>Masego</x:v>
      </x:c>
      <x:c r="G14" s="10" t="str">
        <x:v>Actual contribution/review links and defence rehearsal evidence</x:v>
      </x:c>
      <x:c r="H14" s="10" t="str">
        <x:v>High / 16</x:v>
      </x:c>
      <x:c r="I14" s="10" t="str">
        <x:v>RECOMMENDATION ONLY</x:v>
      </x:c>
    </x:row>
    <x:row r="15" ht="56" customHeight="1">
      <x:c r="A15" s="9" t="str">
        <x:v>Risk</x:v>
      </x:c>
      <x:c r="B15" s="9" t="str">
        <x:v>RSK-10</x:v>
      </x:c>
      <x:c r="C15" s="9" t="str">
        <x:v>Open</x:v>
      </x:c>
      <x:c r="D15" s="9" t="str">
        <x:v>Open; proxy validity pending</x:v>
      </x:c>
      <x:c r="E15" s="9" t="str">
        <x:v>AS-01 lecturer/proxy validation evidence not located.</x:v>
      </x:c>
      <x:c r="F15" s="9" t="str">
        <x:v>Don</x:v>
      </x:c>
      <x:c r="G15" s="9" t="str">
        <x:v>Highest-value assumptions reviewed with lecturer and changes controlled</x:v>
      </x:c>
      <x:c r="H15" s="9" t="str">
        <x:v>Medium / 9</x:v>
      </x:c>
      <x:c r="I15" s="9" t="str">
        <x:v>RECOMMENDATION ONLY</x:v>
      </x:c>
    </x:row>
    <x:row r="16" ht="70" customHeight="1">
      <x:c r="A16" s="10" t="str">
        <x:v>Risk</x:v>
      </x:c>
      <x:c r="B16" s="10" t="str">
        <x:v>RSK-11</x:v>
      </x:c>
      <x:c r="C16" s="10" t="str">
        <x:v>Open</x:v>
      </x:c>
      <x:c r="D16" s="10" t="str">
        <x:v>Open; security exposure demonstrated</x:v>
      </x:c>
      <x:c r="E16" s="10" t="str">
        <x:v>Actor token disclosure permits Staff impersonation; contact-specific privacy AC remains untested.</x:v>
      </x:c>
      <x:c r="F16" s="10" t="str">
        <x:v>Don</x:v>
      </x:c>
      <x:c r="G16" s="10" t="str">
        <x:v>Secret-free stable identities, full privacy/access matrix and retest QA-F01</x:v>
      </x:c>
      <x:c r="H16" s="10" t="str">
        <x:v>High / 15</x:v>
      </x:c>
      <x:c r="I16" s="10" t="str">
        <x:v>RECOMMENDATION ONLY</x:v>
      </x:c>
    </x:row>
    <x:row r="17" ht="70" customHeight="1">
      <x:c r="A17" s="9" t="str">
        <x:v>Risk</x:v>
      </x:c>
      <x:c r="B17" s="9" t="str">
        <x:v>RSK-12</x:v>
      </x:c>
      <x:c r="C17" s="9" t="str">
        <x:v>Open</x:v>
      </x:c>
      <x:c r="D17" s="9" t="str">
        <x:v>Open; schedule pressure material</x:v>
      </x:c>
      <x:c r="E17" s="9" t="str">
        <x:v>DEC-008 still deferred while construction has occurred and M2 continuity evidence missing.</x:v>
      </x:c>
      <x:c r="F17" s="9" t="str">
        <x:v>Emile</x:v>
      </x:c>
      <x:c r="G17" s="9" t="str">
        <x:v>Decision/continuity evidence, honest scope closure and prioritisation record</x:v>
      </x:c>
      <x:c r="H17" s="9" t="str">
        <x:v>High / 12</x:v>
      </x:c>
      <x:c r="I17" s="9" t="str">
        <x:v>RECOMMENDATION ONLY</x:v>
      </x:c>
    </x:row>
    <x:row r="18" ht="70" customHeight="1">
      <x:c r="A18" s="10" t="str">
        <x:v>Risk</x:v>
      </x:c>
      <x:c r="B18" s="10" t="str">
        <x:v>RSK-13</x:v>
      </x:c>
      <x:c r="C18" s="10" t="str">
        <x:v>Open</x:v>
      </x:c>
      <x:c r="D18" s="10" t="str">
        <x:v>Open; cross-training unverified</x:v>
      </x:c>
      <x:c r="E18" s="10" t="str">
        <x:v>Deployment/data architecture not approved and current specialist knowledge transfer not evidenced.</x:v>
      </x:c>
      <x:c r="F18" s="10" t="str">
        <x:v>Masego</x:v>
      </x:c>
      <x:c r="G18" s="10" t="str">
        <x:v>Second member reproduces documented build/deploy/data procedures</x:v>
      </x:c>
      <x:c r="H18" s="10" t="str">
        <x:v>High / 12</x:v>
      </x:c>
      <x:c r="I18" s="10" t="str">
        <x:v>RECOMMENDATION ONLY</x:v>
      </x:c>
    </x:row>
    <x:row r="19" ht="56" customHeight="1">
      <x:c r="A19" s="9" t="str">
        <x:v>Risk</x:v>
      </x:c>
      <x:c r="B19" s="9" t="str">
        <x:v>RSK-14</x:v>
      </x:c>
      <x:c r="C19" s="9" t="str">
        <x:v>Open</x:v>
      </x:c>
      <x:c r="D19" s="9" t="str">
        <x:v>Open; mitigation present in source form</x:v>
      </x:c>
      <x:c r="E19" s="9" t="str">
        <x:v>Markdown/CSV source exists; v3 integration and reviewed exports pending.</x:v>
      </x:c>
      <x:c r="F19" s="9" t="str">
        <x:v>Emile</x:v>
      </x:c>
      <x:c r="G19" s="9" t="str">
        <x:v>Reviewed modular changes, compiled PED with authentic version lineage</x:v>
      </x:c>
      <x:c r="H19" s="9" t="str">
        <x:v>High / 12</x:v>
      </x:c>
      <x:c r="I19" s="9" t="str">
        <x:v>RECOMMENDATION ONLY</x:v>
      </x:c>
    </x:row>
    <x:row r="20" ht="70" customHeight="1">
      <x:c r="A20" s="10" t="str">
        <x:v>Risk</x:v>
      </x:c>
      <x:c r="B20" s="10" t="str">
        <x:v>RSK-15</x:v>
      </x:c>
      <x:c r="C20" s="10" t="str">
        <x:v>Open</x:v>
      </x:c>
      <x:c r="D20" s="10" t="str">
        <x:v>Open; limitations directly reproduced</x:v>
      </x:c>
      <x:c r="E20" s="10" t="str">
        <x:v>Memory-only data loss and credential identity are present; QA-P01 adds unaudited mutation.</x:v>
      </x:c>
      <x:c r="F20" s="10" t="str">
        <x:v>Don</x:v>
      </x:c>
      <x:c r="G20" s="10" t="str">
        <x:v>Approved durable identity/persistence, integrity regressions, recovery, release decision</x:v>
      </x:c>
      <x:c r="H20" s="10" t="str">
        <x:v>Critical / 20</x:v>
      </x:c>
      <x:c r="I20" s="10" t="str">
        <x:v>RECOMMENDATION ONLY</x:v>
      </x:c>
    </x:row>
    <x:row r="21" ht="56" customHeight="1">
      <x:c r="A21" s="9" t="str">
        <x:v>Assumption</x:v>
      </x:c>
      <x:c r="B21" s="9" t="str">
        <x:v>AS-01</x:v>
      </x:c>
      <x:c r="C21" s="9" t="str">
        <x:v>Confidence High</x:v>
      </x:c>
      <x:c r="D21" s="9" t="str">
        <x:v>Pending lecturer validation</x:v>
      </x:c>
      <x:c r="E21" s="9" t="str">
        <x:v>No independent business-validity evidence; preserve scenario-proxy basis</x:v>
      </x:c>
      <x:c r="F21" s="9" t="str">
        <x:v>Don / team</x:v>
      </x:c>
      <x:c r="G21" s="9" t="str">
        <x:v>Lecturer validation record and controlled response</x:v>
      </x:c>
      <x:c r="H21" s="9" t="str">
        <x:v>N/A</x:v>
      </x:c>
      <x:c r="I21" s="9" t="str">
        <x:v>RECOMMENDATION ONLY</x:v>
      </x:c>
    </x:row>
    <x:row r="22" ht="56" customHeight="1">
      <x:c r="A22" s="10" t="str">
        <x:v>Assumption</x:v>
      </x:c>
      <x:c r="B22" s="10" t="str">
        <x:v>AS-02</x:v>
      </x:c>
      <x:c r="C22" s="10" t="str">
        <x:v>Confidence Medium</x:v>
      </x:c>
      <x:c r="D22" s="10" t="str">
        <x:v>Pending target approval</x:v>
      </x:c>
      <x:c r="E22" s="10" t="str">
        <x:v>Use provisional fixture values, never assert operational SLA targets approved</x:v>
      </x:c>
      <x:c r="F22" s="10" t="str">
        <x:v>Masego</x:v>
      </x:c>
      <x:c r="G22" s="10" t="str">
        <x:v>Proxy/lecturer agreement and FR-021 boundaries</x:v>
      </x:c>
      <x:c r="H22" s="10" t="str">
        <x:v>N/A</x:v>
      </x:c>
      <x:c r="I22" s="10" t="str">
        <x:v>RECOMMENDATION ONLY</x:v>
      </x:c>
    </x:row>
    <x:row r="23" ht="56" customHeight="1">
      <x:c r="A23" s="9" t="str">
        <x:v>Assumption</x:v>
      </x:c>
      <x:c r="B23" s="9" t="str">
        <x:v>AS-03</x:v>
      </x:c>
      <x:c r="C23" s="9" t="str">
        <x:v>Confidence Medium</x:v>
      </x:c>
      <x:c r="D23" s="9" t="str">
        <x:v>Pending platform proof</x:v>
      </x:c>
      <x:c r="E23" s="9" t="str">
        <x:v>Free email not selected/measured; affects notifications and cost</x:v>
      </x:c>
      <x:c r="F23" s="9" t="str">
        <x:v>Don</x:v>
      </x:c>
      <x:c r="G23" s="9" t="str">
        <x:v>Provider limit/volume/latency/cost evidence</x:v>
      </x:c>
      <x:c r="H23" s="9" t="str">
        <x:v>N/A</x:v>
      </x:c>
      <x:c r="I23" s="9" t="str">
        <x:v>RECOMMENDATION ONLY</x:v>
      </x:c>
    </x:row>
    <x:row r="24" ht="48" customHeight="1">
      <x:c r="A24" s="10" t="str">
        <x:v>Assumption</x:v>
      </x:c>
      <x:c r="B24" s="10" t="str">
        <x:v>AS-04</x:v>
      </x:c>
      <x:c r="C24" s="10" t="str">
        <x:v>Confidence Low</x:v>
      </x:c>
      <x:c r="D24" s="10" t="str">
        <x:v>Pending load/capacity verification</x:v>
      </x:c>
      <x:c r="E24" s="10" t="str">
        <x:v>25POSTs cannot validate volume assumption</x:v>
      </x:c>
      <x:c r="F24" s="10" t="str">
        <x:v>Don</x:v>
      </x:c>
      <x:c r="G24" s="10" t="str">
        <x:v>500users/5000requests and NFR-001 load evidence</x:v>
      </x:c>
      <x:c r="H24" s="10" t="str">
        <x:v>N/A</x:v>
      </x:c>
      <x:c r="I24" s="10" t="str">
        <x:v>RECOMMENDATION ONLY</x:v>
      </x:c>
    </x:row>
    <x:row r="25" ht="56" customHeight="1">
      <x:c r="A25" s="9" t="str">
        <x:v>Assumption</x:v>
      </x:c>
      <x:c r="B25" s="9" t="str">
        <x:v>AS-05</x:v>
      </x:c>
      <x:c r="C25" s="9" t="str">
        <x:v>Confidence Medium</x:v>
      </x:c>
      <x:c r="D25" s="9" t="str">
        <x:v>Pending actual team confirmation</x:v>
      </x:c>
      <x:c r="E25" s="9" t="str">
        <x:v>Do not infer absence or resignation from missing reviews</x:v>
      </x:c>
      <x:c r="F25" s="9" t="str">
        <x:v>All members</x:v>
      </x:c>
      <x:c r="G25" s="9" t="str">
        <x:v>Actual participation/access agreement and two real reviews</x:v>
      </x:c>
      <x:c r="H25" s="9" t="str">
        <x:v>N/A</x:v>
      </x:c>
      <x:c r="I25" s="9" t="str">
        <x:v>RECOMMENDATION ONLY</x:v>
      </x:c>
    </x:row>
    <x:row r="26" ht="56" customHeight="1">
      <x:c r="A26" s="10" t="str">
        <x:v>Technical debt</x:v>
      </x:c>
      <x:c r="B26" s="10" t="str">
        <x:v>Persistence (no TD ID in source)</x:v>
      </x:c>
      <x:c r="C26" s="10" t="str">
        <x:v>Open</x:v>
      </x:c>
      <x:c r="D26" s="10" t="str">
        <x:v>Keep Critical; new service loses all records. QA-P10</x:v>
      </x:c>
      <x:c r="E26" s="10" t="str">
        <x:v>Data loss on restart; no backup/restore or multi-instance consistency</x:v>
      </x:c>
      <x:c r="F26" s="10" t="str">
        <x:v>Masego + Don</x:v>
      </x:c>
      <x:c r="G26" s="10" t="str">
        <x:v>Approved storage and durable history, restart and restore evidence</x:v>
      </x:c>
      <x:c r="H26" s="10" t="str">
        <x:v>Critical</x:v>
      </x:c>
      <x:c r="I26" s="10" t="str">
        <x:v>RECOMMENDATION ONLY</x:v>
      </x:c>
    </x:row>
    <x:row r="27" ht="56" customHeight="1">
      <x:c r="A27" s="9" t="str">
        <x:v>Technical debt</x:v>
      </x:c>
      <x:c r="B27" s="9" t="str">
        <x:v>Identity (no TD ID in source)</x:v>
      </x:c>
      <x:c r="C27" s="9" t="str">
        <x:v>Open</x:v>
      </x:c>
      <x:c r="D27" s="9" t="str">
        <x:v>Keep Critical; token-valued ID permits credential replay. QA-P07</x:v>
      </x:c>
      <x:c r="E27" s="9" t="str">
        <x:v>Cannot meet FR-001/FR-002/FR-024 or production identity/security requirements</x:v>
      </x:c>
      <x:c r="F27" s="9" t="str">
        <x:v>Masego + Don</x:v>
      </x:c>
      <x:c r="G27" s="9" t="str">
        <x:v>Approved identity, account lifecycle, secret-free IDs, role matrix</x:v>
      </x:c>
      <x:c r="H27" s="9" t="str">
        <x:v>Critical</x:v>
      </x:c>
      <x:c r="I27" s="9" t="str">
        <x:v>RECOMMENDATION ONLY</x:v>
      </x:c>
    </x:row>
    <x:row r="28" ht="56" customHeight="1">
      <x:c r="A28" s="10" t="str">
        <x:v>Technical debt</x:v>
      </x:c>
      <x:c r="B28" s="10" t="str">
        <x:v>Request workflow (no TD ID in source)</x:v>
      </x:c>
      <x:c r="C28" s="10" t="str">
        <x:v>Open</x:v>
      </x:c>
      <x:c r="D28" s="10" t="str">
        <x:v>Keep High; basic intake/list UI now exists, most workflow still absent</x:v>
      </x:c>
      <x:c r="E28" s="10" t="str">
        <x:v>Multiple baselined functional requirements remain unmet</x:v>
      </x:c>
      <x:c r="F28" s="10" t="str">
        <x:v>Masego</x:v>
      </x:c>
      <x:c r="G28" s="10" t="str">
        <x:v>Delivered requirement acceptance and explicit remaining gaps</x:v>
      </x:c>
      <x:c r="H28" s="10" t="str">
        <x:v>High</x:v>
      </x:c>
      <x:c r="I28" s="10" t="str">
        <x:v>RECOMMENDATION ONLY</x:v>
      </x:c>
    </x:row>
    <x:row r="29" ht="56" customHeight="1">
      <x:c r="A29" s="9" t="str">
        <x:v>Technical debt</x:v>
      </x:c>
      <x:c r="B29" s="9" t="str">
        <x:v>Audit (no TD ID in source)</x:v>
      </x:c>
      <x:c r="C29" s="9" t="str">
        <x:v>Open</x:v>
      </x:c>
      <x:c r="D29" s="9" t="str">
        <x:v>Keep High; true previous values and denied-mutation defects. QA-P01/P02</x:v>
      </x:c>
      <x:c r="E29" s="9" t="str">
        <x:v>Audit evidence can be lost and cannot meet durable immutable audit expectation</x:v>
      </x:c>
      <x:c r="F29" s="9" t="str">
        <x:v>Masego + Don</x:v>
      </x:c>
      <x:c r="G29" s="9" t="str">
        <x:v>Audit correctness/no-mutation/durability evidence</x:v>
      </x:c>
      <x:c r="H29" s="9" t="str">
        <x:v>High</x:v>
      </x:c>
      <x:c r="I29" s="9" t="str">
        <x:v>RECOMMENDATION ONLY</x:v>
      </x:c>
    </x:row>
    <x:row r="30" ht="70" customHeight="1">
      <x:c r="A30" s="10" t="str">
        <x:v>Technical debt</x:v>
      </x:c>
      <x:c r="B30" s="10" t="str">
        <x:v>Operations (no TD ID in source)</x:v>
      </x:c>
      <x:c r="C30" s="10" t="str">
        <x:v>Threat model; monitoring and uptime log; rate limit tests; backup/restore rehearsal; operations runbook</x:v>
      </x:c>
      <x:c r="D30" s="10" t="str">
        <x:v>Keep High; uptime/recovery evidence absent; extra controls require risk rationale</x:v>
      </x:c>
      <x:c r="E30" s="10" t="str">
        <x:v>Abuse</x:v>
      </x:c>
      <x:c r="F30" s="10" t="str">
        <x:v>Don</x:v>
      </x:c>
      <x:c r="G30" s="10" t="str">
        <x:v>NFR-002/011 procedures and proportionate operational controls</x:v>
      </x:c>
      <x:c r="H30" s="10" t="str">
        <x:v> outage and recovery risks remain unmitigated</x:v>
      </x:c>
      <x:c r="I30" s="10" t="str">
        <x:v>RECOMMENDATION ONLY</x:v>
      </x:c>
    </x:row>
    <x:row r="31" ht="56" customHeight="1">
      <x:c r="A31" s="9" t="str">
        <x:v>Technical debt</x:v>
      </x:c>
      <x:c r="B31" s="9" t="str">
        <x:v>Quality evidence (no TD ID in source)</x:v>
      </x:c>
      <x:c r="C31" s="9" t="str">
        <x:v>Open</x:v>
      </x:c>
      <x:c r="D31" s="9" t="str">
        <x:v>Keep High;28 tests pass, no full AC coverage or browser E2E</x:v>
      </x:c>
      <x:c r="E31" s="9" t="str">
        <x:v>Passing tests alone do not prove milestone-wide requirement compliance</x:v>
      </x:c>
      <x:c r="F31" s="9" t="str">
        <x:v>Emile + Don</x:v>
      </x:c>
      <x:c r="G31" s="9" t="str">
        <x:v>Complete current RTM, CI coverage/static findings, gap/defect retests</x:v>
      </x:c>
      <x:c r="H31" s="9" t="str">
        <x:v>High</x:v>
      </x:c>
      <x:c r="I31" s="9" t="str">
        <x:v>RECOMMENDATION ONLY</x:v>
      </x:c>
    </x:row>
    <x:row r="32" ht="84" customHeight="1">
      <x:c r="A32" s="10" t="str">
        <x:v>Defect</x:v>
      </x:c>
      <x:c r="B32" s="10" t="str">
        <x:v>DEF-001</x:v>
      </x:c>
      <x:c r="C32" s="10" t="str">
        <x:v>Fixed; verify again on final successful CI run</x:v>
      </x:c>
      <x:c r="D32" s="10" t="str">
        <x:v>Technical retest supported; human closure pending</x:v>
      </x:c>
      <x:c r="E32" s="10" t="str">
        <x:v>Exact-head synthetic runner25/25 successes,0 failures. Does not prove NFR-001.</x:v>
      </x:c>
      <x:c r="F32" s="10" t="str">
        <x:v>Masego/Don fix; Emile verifies</x:v>
      </x:c>
      <x:c r="G32" s="10" t="str">
        <x:v>https://github.com/Don-Sanvura/Civic-connect/actions/runs/38238109916 job114773737111; named reviewer confirms fixture correction</x:v>
      </x:c>
      <x:c r="H32" s="10" t="str">
        <x:v>Medium</x:v>
      </x:c>
      <x:c r="I32" s="10" t="str">
        <x:v>DO NOT CLOSE ON BEHALF OF TEAM</x:v>
      </x:c>
    </x:row>
    <x:row r="33" ht="112" customHeight="1">
      <x:c r="A33" s="9" t="str">
        <x:v>AI usage</x:v>
      </x:c>
      <x:c r="B33" s="9" t="str">
        <x:v>AI-001</x:v>
      </x:c>
      <x:c r="C33" s="9" t="str">
        <x:v>Each proposed section was tested against the brief requirements. The artefact list was validated against the acceptance criteria and the PED structure reviewed for completeness.</x:v>
      </x:c>
      <x:c r="D33" s="9" t="str">
        <x:v>Preserve historical declaration; this review does not authenticate personal human verification</x:v>
      </x:c>
      <x:c r="E33" s="9" t="str">
        <x:v>Structuring the M1 artefact set against the Milestone 1 brief and Master Project Brief</x:v>
      </x:c>
      <x:c r="F33" s="9" t="str">
        <x:v>Masego</x:v>
      </x:c>
      <x:c r="G33" s="9" t="str">
        <x:v>Named actual human checks/diff review and decision, with linked evidence; never invent signoff</x:v>
      </x:c>
      <x:c r="H33" s="9" t="str">
        <x:v>N/A</x:v>
      </x:c>
      <x:c r="I33" s="9" t="str">
        <x:v>RECOMMENDATION ONLY</x:v>
      </x:c>
    </x:row>
    <x:row r="34" ht="126" customHeight="1">
      <x:c r="A34" s="10" t="str">
        <x:v>AI usage</x:v>
      </x:c>
      <x:c r="B34" s="10" t="str">
        <x:v>AI-002</x:v>
      </x:c>
      <x:c r="C34" s="10" t="str">
        <x:v>Each requirement was checked for traceability to the scenario brief, testability against acceptance criteria, and consistency with stakeholder needs. Secondary model cross-check performed on measurability.</x:v>
      </x:c>
      <x:c r="D34" s="10" t="str">
        <x:v>Preserve historical declaration; this review does not authenticate personal human verification; append correction note FR-001 concurrency typo should refer to NFR-001 per AI-003/project history</x:v>
      </x:c>
      <x:c r="E34" s="10" t="str">
        <x:v>Drafting candidate functional and non-functional requirements from the CivicConnect scenario</x:v>
      </x:c>
      <x:c r="F34" s="10" t="str">
        <x:v>Don</x:v>
      </x:c>
      <x:c r="G34" s="10" t="str">
        <x:v>Named actual human checks/diff review and decision, with linked evidence; never invent signoff</x:v>
      </x:c>
      <x:c r="H34" s="10" t="str">
        <x:v>N/A</x:v>
      </x:c>
      <x:c r="I34" s="10" t="str">
        <x:v>RECOMMENDATION ONLY</x:v>
      </x:c>
    </x:row>
    <x:row r="35" ht="98" customHeight="1">
      <x:c r="A35" s="9" t="str">
        <x:v>AI usage</x:v>
      </x:c>
      <x:c r="B35" s="9" t="str">
        <x:v>AI-003</x:v>
      </x:c>
      <x:c r="C35" s="9" t="str">
        <x:v>Findings reviewed by Don against the scenario requirements. Each flagged criterion re-examined and acceptance criteria rewritten with explicit metrics.</x:v>
      </x:c>
      <x:c r="D35" s="9" t="str">
        <x:v>Preserve historical declaration; this review does not authenticate personal human verification</x:v>
      </x:c>
      <x:c r="E35" s="9" t="str">
        <x:v>Independent critique of the draft requirement set for testability</x:v>
      </x:c>
      <x:c r="F35" s="9" t="str">
        <x:v>Don</x:v>
      </x:c>
      <x:c r="G35" s="9" t="str">
        <x:v>Named actual human checks/diff review and decision, with linked evidence; never invent signoff</x:v>
      </x:c>
      <x:c r="H35" s="9" t="str">
        <x:v>N/A</x:v>
      </x:c>
      <x:c r="I35" s="9" t="str">
        <x:v>RECOMMENDATION ONLY</x:v>
      </x:c>
    </x:row>
    <x:row r="36" ht="140" customHeight="1">
      <x:c r="A36" s="10" t="str">
        <x:v>AI usage</x:v>
      </x:c>
      <x:c r="B36" s="10" t="str">
        <x:v>AI-004</x:v>
      </x:c>
      <x:c r="C36" s="10" t="str">
        <x:v>Generic entries such as 'project will fail' were rejected. Each risk was re-evaluated by the team for specificity, cause, owner and mitigation/contingency distinction. Team added RSK-04 (approval deadlock in 3-person team) after review.</x:v>
      </x:c>
      <x:c r="D36" s="10" t="str">
        <x:v>Preserve historical declaration; this review does not authenticate personal human verification</x:v>
      </x:c>
      <x:c r="E36" s="10" t="str">
        <x:v>Drafting the risk register and forward engineering considerations</x:v>
      </x:c>
      <x:c r="F36" s="10" t="str">
        <x:v>Emile</x:v>
      </x:c>
      <x:c r="G36" s="10" t="str">
        <x:v>Named actual human checks/diff review and decision, with linked evidence; never invent signoff</x:v>
      </x:c>
      <x:c r="H36" s="10" t="str">
        <x:v>N/A</x:v>
      </x:c>
      <x:c r="I36" s="10" t="str">
        <x:v>RECOMMENDATION ONLY</x:v>
      </x:c>
    </x:row>
    <x:row r="37" ht="112" customHeight="1">
      <x:c r="A37" s="9" t="str">
        <x:v>AI usage</x:v>
      </x:c>
      <x:c r="B37" s="9" t="str">
        <x:v>AI-005</x:v>
      </x:c>
      <x:c r="C37" s="9" t="str">
        <x:v>Each setting was checked against the project rules, tested by attempting a direct push to main and a self-approval (both refused), and verified in the repository settings panel.</x:v>
      </x:c>
      <x:c r="D37" s="9" t="str">
        <x:v>Preserve historical declaration; this review does not authenticate personal human verification</x:v>
      </x:c>
      <x:c r="E37" s="9" t="str">
        <x:v>Drafting the GitHub governance procedure and pull request template</x:v>
      </x:c>
      <x:c r="F37" s="9" t="str">
        <x:v>Don</x:v>
      </x:c>
      <x:c r="G37" s="9" t="str">
        <x:v>Named actual human checks/diff review and decision, with linked evidence; never invent signoff</x:v>
      </x:c>
      <x:c r="H37" s="9" t="str">
        <x:v>N/A</x:v>
      </x:c>
      <x:c r="I37" s="9" t="str">
        <x:v>RECOMMENDATION ONLY</x:v>
      </x:c>
    </x:row>
    <x:row r="38" ht="98" customHeight="1">
      <x:c r="A38" s="10" t="str">
        <x:v>AI usage</x:v>
      </x:c>
      <x:c r="B38" s="10" t="str">
        <x:v>AI-006</x:v>
      </x:c>
      <x:c r="C38" s="10" t="str">
        <x:v>Each proposed conflict was tested against the stakeholder statements and scenario brief. Resolutions checked for feasibility and alignment with project constraints.</x:v>
      </x:c>
      <x:c r="D38" s="10" t="str">
        <x:v>Preserve historical declaration; this review does not authenticate personal human verification</x:v>
      </x:c>
      <x:c r="E38" s="10" t="str">
        <x:v>Analysis of stakeholder conflicts and scope exclusion rationale</x:v>
      </x:c>
      <x:c r="F38" s="10" t="str">
        <x:v>Masego</x:v>
      </x:c>
      <x:c r="G38" s="10" t="str">
        <x:v>Named actual human checks/diff review and decision, with linked evidence; never invent signoff</x:v>
      </x:c>
      <x:c r="H38" s="10" t="str">
        <x:v>N/A</x:v>
      </x:c>
      <x:c r="I38" s="10" t="str">
        <x:v>RECOMMENDATION ONLY</x:v>
      </x:c>
    </x:row>
    <x:row r="39" ht="112" customHeight="1">
      <x:c r="A39" s="9" t="str">
        <x:v>AI usage</x:v>
      </x:c>
      <x:c r="B39" s="9" t="str">
        <x:v>AI-007</x:v>
      </x:c>
      <x:c r="C39" s="9" t="str">
        <x:v>Verified that the AI replaced the placeholder comments with the actual content from the project document instead of hallucinating or assuming new content. Reviewed the diff for all 16 files.</x:v>
      </x:c>
      <x:c r="D39" s="9" t="str">
        <x:v>Preserve historical declaration; this review does not authenticate personal human verification</x:v>
      </x:c>
      <x:c r="E39" s="9" t="str">
        <x:v>Transcribing docs/PED/*.md source files from the compiled, signed-off PED_v1.0_CivicConnect.docx (DEC-002 markdown source had never been populated)</x:v>
      </x:c>
      <x:c r="F39" s="9" t="str">
        <x:v>Emile</x:v>
      </x:c>
      <x:c r="G39" s="9" t="str">
        <x:v>Named actual human checks/diff review and decision, with linked evidence; never invent signoff</x:v>
      </x:c>
      <x:c r="H39" s="9" t="str">
        <x:v>N/A</x:v>
      </x:c>
      <x:c r="I39" s="9" t="str">
        <x:v>RECOMMENDATION ONLY</x:v>
      </x:c>
    </x:row>
    <x:row r="40" ht="126" customHeight="1">
      <x:c r="A40" s="10" t="str">
        <x:v>AI usage</x:v>
      </x:c>
      <x:c r="B40" s="10" t="str">
        <x:v>AI-008</x:v>
      </x:c>
      <x:c r="C40" s="10" t="str">
        <x:v>Human re-examination of the three flagged items confirmed the mismatch. Acceptance criteria re-checked against actual evidence. Issue #6 resolved; baseline signoff updated with verified completion status.</x:v>
      </x:c>
      <x:c r="D40" s="10" t="str">
        <x:v>Preserve historical declaration; this review does not authenticate personal human verification</x:v>
      </x:c>
      <x:c r="E40" s="10" t="str">
        <x:v>Verification of issue #6 closure status and signature completeness in M1-baseline-signoff.md</x:v>
      </x:c>
      <x:c r="F40" s="10" t="str">
        <x:v>Don</x:v>
      </x:c>
      <x:c r="G40" s="10" t="str">
        <x:v>Named actual human checks/diff review and decision, with linked evidence; never invent signoff</x:v>
      </x:c>
      <x:c r="H40" s="10" t="str">
        <x:v>N/A</x:v>
      </x:c>
      <x:c r="I40" s="10" t="str">
        <x:v>RECOMMENDATION ONLY</x:v>
      </x:c>
    </x:row>
    <x:row r="41" ht="168" customHeight="1">
      <x:c r="A41" s="9" t="str">
        <x:v>AI usage</x:v>
      </x:c>
      <x:c r="B41" s="9" t="str">
        <x:v>AI-009</x:v>
      </x:c>
      <x:c r="C41" s="9" t="str">
        <x:v>Each proposed change was reviewed against the brief and the rest of the register set before acceptance. The SH-05 re-rating, the SCOPE-D-03 and CN-03 rewrites and the DEC-007 risk-link fix were decided by Masego as her own engineering judgements and are defensible without reference to the tool.</x:v>
      </x:c>
      <x:c r="D41" s="9" t="str">
        <x:v>Preserve historical declaration; this review does not authenticate personal human verification</x:v>
      </x:c>
      <x:c r="E41" s="9" t="str">
        <x:v>Verification pass over Workstream A sections (problem, stakeholders, scope, constraints, decision log) against the Master Project Brief and reconciliation of the CSV registers with the PED narrative for M1 finalisation.</x:v>
      </x:c>
      <x:c r="F41" s="9" t="str">
        <x:v>Masego</x:v>
      </x:c>
      <x:c r="G41" s="9" t="str">
        <x:v>Named actual human checks/diff review and decision, with linked evidence; never invent signoff</x:v>
      </x:c>
      <x:c r="H41" s="9" t="str">
        <x:v>N/A</x:v>
      </x:c>
      <x:c r="I41" s="9" t="str">
        <x:v>RECOMMENDATION ONLY</x:v>
      </x:c>
    </x:row>
    <x:row r="42" ht="98" customHeight="1">
      <x:c r="A42" s="10" t="str">
        <x:v>AI usage</x:v>
      </x:c>
      <x:c r="B42" s="10" t="str">
        <x:v>AI-010</x:v>
      </x:c>
      <x:c r="C42" s="10" t="str">
        <x:v>Each commit message was checked against the staged diff for that commit before committing, and reworded where it did not match the actual change.</x:v>
      </x:c>
      <x:c r="D42" s="10" t="str">
        <x:v>Preserve historical declaration; this review does not authenticate personal human verification</x:v>
      </x:c>
      <x:c r="E42" s="10" t="str">
        <x:v>Drafting the commit messages for the Workstream A verification pass (branch docs/scope-and-stakeholders).</x:v>
      </x:c>
      <x:c r="F42" s="10" t="str">
        <x:v>Masego</x:v>
      </x:c>
      <x:c r="G42" s="10" t="str">
        <x:v>Named actual human checks/diff review and decision, with linked evidence; never invent signoff</x:v>
      </x:c>
      <x:c r="H42" s="10" t="str">
        <x:v>N/A</x:v>
      </x:c>
      <x:c r="I42" s="10" t="str">
        <x:v>RECOMMENDATION ONLY</x:v>
      </x:c>
    </x:row>
    <x:row r="43" ht="112" customHeight="1">
      <x:c r="A43" s="9" t="str">
        <x:v>AI usage</x:v>
      </x:c>
      <x:c r="B43" s="9" t="str">
        <x:v>AI-011</x:v>
      </x:c>
      <x:c r="C43" s="9" t="str">
        <x:v>Pending human review. Automated checks and test outcomes must be recorded only after they are actually run; reviewers must reconcile all mappings with the baselined RTM and approved DEC-008 evidence.</x:v>
      </x:c>
      <x:c r="D43" s="9" t="str">
        <x:v>Keep human verification pending; attach exact automated results and new defects, obtain real named reviews</x:v>
      </x:c>
      <x:c r="E43" s="9" t="str">
        <x:v>Milestone 3 implementation and release-evidence draft</x:v>
      </x:c>
      <x:c r="F43" s="9" t="str">
        <x:v>Don</x:v>
      </x:c>
      <x:c r="G43" s="9" t="str">
        <x:v>Named actual human checks/diff review and decision, with linked evidence; never invent signoff</x:v>
      </x:c>
      <x:c r="H43" s="9" t="str">
        <x:v>N/A</x:v>
      </x:c>
      <x:c r="I43" s="9" t="str">
        <x:v>RECOMMENDATION ONLY</x:v>
      </x:c>
    </x:row>
    <x:row r="44" ht="84" customHeight="1">
      <x:c r="A44" s="10" t="str">
        <x:v>AI usage</x:v>
      </x:c>
      <x:c r="B44" s="10" t="str">
        <x:v>New ID to allocate at incorporation</x:v>
      </x:c>
      <x:c r="C44" s="10" t="str">
        <x:v>Not in repository</x:v>
      </x:c>
      <x:c r="D44" s="10" t="str">
        <x:v>Proposed entry for this Codex-assisted review; Student Emile; human verification pending</x:v>
      </x:c>
      <x:c r="E44" s="10" t="str">
        <x:v>Requirement/test audit, local diagnostic probes, recommended correction pack; no repo edits or personal human checks</x:v>
      </x:c>
      <x:c r="F44" s="10" t="str">
        <x:v>Emile</x:v>
      </x:c>
      <x:c r="G44" s="10" t="str">
        <x:v>Emile and both reviewers record checks they actually perform and their decision</x:v>
      </x:c>
      <x:c r="H44" s="10" t="str">
        <x:v>N/A</x:v>
      </x:c>
      <x:c r="I44" s="10" t="str">
        <x:v>PROPOSED ENTRY, NO ID RESERVED</x:v>
      </x:c>
    </x:row>
  </x:sheetData>
  <x:conditionalFormatting sqref="D6:D44">
    <x:cfRule type="containsText" dxfId="6" priority="1" operator="containsText" text="FAILED"/>
    <x:cfRule type="containsText" dxfId="7" priority="2" operator="containsText" text="GAP"/>
  </x:conditionalFormatting>
  <x:pageMargins left="0.7" right="0.7" top="0.75" bottom="0.75" header="0.3" footer="0.3"/>
  <x:tableParts count="1">
    <x:tablePart xmlns:r="http://schemas.openxmlformats.org/officeDocument/2006/relationships" r:id="Ref3c4615f3bd4184"/>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5" hidden="0" customWidth="1"/>
    <x:col min="2" max="2" width="68" hidden="0" customWidth="1"/>
    <x:col min="3" max="3" width="32" hidden="0" customWidth="1"/>
    <x:col min="4" max="4" width="32" hidden="0" customWidth="1"/>
  </x:cols>
  <x:sheetData>
    <x:row r="2">
      <x:c r="A2" s="1" t="str">
        <x:v>Corrections</x:v>
      </x:c>
    </x:row>
    <x:row r="3">
      <x:c r="A3" t="str">
        <x:v>Reviewed main f874f5cba35cb326c7a3aabeaa0e183f4eedb4b4 | 17 October 2026 SAST | Recommendations; no repository edits or human signoff</x:v>
      </x:c>
    </x:row>
    <x:row r="4">
      <x:c r="A4" s="16" t="str">
        <x:v>Source: CivicConnect-QA-Review.html; pinned source locator and captured evidence folder</x:v>
      </x:c>
    </x:row>
    <x:row r="5" ht="36" customHeight="1">
      <x:c r="A5" s="8" t="str">
        <x:v>Artefact</x:v>
      </x:c>
      <x:c r="B5" s="8" t="str">
        <x:v>Recommended correction</x:v>
      </x:c>
      <x:c r="C5" s="8" t="str">
        <x:v>Owner / closure evidence</x:v>
      </x:c>
      <x:c r="D5" s="8" t="str">
        <x:v>Status</x:v>
      </x:c>
    </x:row>
    <x:row r="6" ht="56" customHeight="1">
      <x:c r="A6" s="10" t="str">
        <x:v>docs/requirements/RTM.csv</x:v>
      </x:c>
      <x:c r="B6" s="10" t="str">
        <x:v>Populate current design/implementation/test/run/defect/disposition fields for all 40 while preserving baseline IDs/source/priority/AC</x:v>
      </x:c>
      <x:c r="C6" s="10" t="str">
        <x:v>Emile + Don; keyed reconciliation and both reviews</x:v>
      </x:c>
      <x:c r="D6" s="10" t="str">
        <x:v>PROPOSED; repository unchanged</x:v>
      </x:c>
    </x:row>
    <x:row r="7" ht="48" customHeight="1">
      <x:c r="A7" s="9" t="str">
        <x:v>docs/RTM/M3-RTM-addendum.csv</x:v>
      </x:c>
      <x:c r="B7" s="9" t="str">
        <x:v>Correct 40 AC cells, separate priority, repair stale GAP/partial refs and pending-execution text</x:v>
      </x:c>
      <x:c r="C7" s="9" t="str">
        <x:v>Emile; prepared RTM table</x:v>
      </x:c>
      <x:c r="D7" s="9" t="str">
        <x:v>PROPOSED; repository unchanged</x:v>
      </x:c>
    </x:row>
    <x:row r="8" ht="48" customHeight="1">
      <x:c r="A8" s="10" t="str">
        <x:v>docs/RTM/M3-eight-link-traceability.md</x:v>
      </x:c>
      <x:c r="B8" s="10" t="str">
        <x:v>Replace obsolete TST mappings;25 to 28 for current state; distinguish API journey/browser E2E</x:v>
      </x:c>
      <x:c r="C8" s="10" t="str">
        <x:v>Emile; per-test audit</x:v>
      </x:c>
      <x:c r="D8" s="10" t="str">
        <x:v>PROPOSED; repository unchanged</x:v>
      </x:c>
    </x:row>
    <x:row r="9" ht="48" customHeight="1">
      <x:c r="A9" s="9" t="str">
        <x:v>docs/PED/M3-implementation-evidence.md</x:v>
      </x:c>
      <x:c r="B9" s="9" t="str">
        <x:v>25 cases/latest CI pending to exact-head 28-pass evidence; retain original observation date</x:v>
      </x:c>
      <x:c r="C9" s="9" t="str">
        <x:v>Emile; CI run38238109916</x:v>
      </x:c>
      <x:c r="D9" s="9" t="str">
        <x:v>PROPOSED; repository unchanged</x:v>
      </x:c>
    </x:row>
    <x:row r="10" ht="56" customHeight="1">
      <x:c r="A10" s="10" t="str">
        <x:v>docs/PED/M3-v3.0-draft.md</x:v>
      </x:c>
      <x:c r="B10" s="10" t="str">
        <x:v>Successful CI now exists; CodeQL result severity still unverified. Remove unsupported accessible/E2E acceptance wording; add identity/integrity findings and category routes</x:v>
      </x:c>
      <x:c r="C10" s="10" t="str">
        <x:v>Emile; code/logs/probes</x:v>
      </x:c>
      <x:c r="D10" s="10" t="str">
        <x:v>PROPOSED; repository unchanged</x:v>
      </x:c>
    </x:row>
    <x:row r="11" ht="56" customHeight="1">
      <x:c r="A11" s="9" t="str">
        <x:v>docs/PED/00-document-control.md and README</x:v>
      </x:c>
      <x:c r="B11" s="9" t="str">
        <x:v>Preserve M1 version/history; add current version/role and current repository reference. README14 managed risks should be15 for current state; governance claim corrected</x:v>
      </x:c>
      <x:c r="C11" s="9" t="str">
        <x:v>Emile + Don; current registers/API</x:v>
      </x:c>
      <x:c r="D11" s="9" t="str">
        <x:v>PROPOSED; repository unchanged</x:v>
      </x:c>
    </x:row>
    <x:row r="12" ht="48" customHeight="1">
      <x:c r="A12" s="10" t="str">
        <x:v>PED v2.0 continuity</x:v>
      </x:c>
      <x:c r="B12" s="10" t="str">
        <x:v>Link authentic M2 baseline and design evidence, or explicitly report it missing; never backfill a fictional approval</x:v>
      </x:c>
      <x:c r="C12" s="10" t="str">
        <x:v>All members; approved historical source</x:v>
      </x:c>
      <x:c r="D12" s="10" t="str">
        <x:v>PROPOSED; repository unchanged</x:v>
      </x:c>
    </x:row>
    <x:row r="13" ht="70" customHeight="1">
      <x:c r="A13" s="9" t="str">
        <x:v>docs/release/RELEASE-EVIDENCE-SUMMARY.md</x:v>
      </x:c>
      <x:c r="B13" s="9" t="str">
        <x:v>Replace branch/c18c56e/5107a84 current-state refs with reviewed main SHA and jobs; CodeQL completed, not running; API journeys not browser E2E; include zero-commit scan limitation and blockers</x:v>
      </x:c>
      <x:c r="C13" s="9" t="str">
        <x:v>Emile; run logs/settings/probes</x:v>
      </x:c>
      <x:c r="D13" s="9" t="str">
        <x:v>PROPOSED; repository unchanged</x:v>
      </x:c>
    </x:row>
    <x:row r="14" ht="56" customHeight="1">
      <x:c r="A14" s="10" t="str">
        <x:v>docs/testing/M3-test-plan.md</x:v>
      </x:c>
      <x:c r="B14" s="10" t="str">
        <x:v>Title3/category60/61 are planned, not present; specify complete role/state coverage needed. Distinguish small POST exercise from NFR-001 load protocol</x:v>
      </x:c>
      <x:c r="C14" s="10" t="str">
        <x:v>Emile + Masego; actual test audit</x:v>
      </x:c>
      <x:c r="D14" s="10" t="str">
        <x:v>PROPOSED; repository unchanged</x:v>
      </x:c>
    </x:row>
    <x:row r="15" ht="48" customHeight="1">
      <x:c r="A15" s="9" t="str">
        <x:v>docs/registers/M3-defect-register.csv</x:v>
      </x:c>
      <x:c r="B15" s="9" t="str">
        <x:v>Add owners/retest fields; preserve DEF-001 history; append verified new defects with unique IDs after collision check</x:v>
      </x:c>
      <x:c r="C15" s="9" t="str">
        <x:v>Emile + Masego; reproductions and regression outputs</x:v>
      </x:c>
      <x:c r="D15" s="9" t="str">
        <x:v>PROPOSED; repository unchanged</x:v>
      </x:c>
    </x:row>
    <x:row r="16" ht="48" customHeight="1">
      <x:c r="A16" s="10" t="str">
        <x:v>docs/registers/M3-technical-debt-register.csv</x:v>
      </x:c>
      <x:c r="B16" s="10" t="str">
        <x:v>Update UI and 28-test facts; add owners/dependencies; keep original rows open with precise consequences</x:v>
      </x:c>
      <x:c r="C16" s="10" t="str">
        <x:v>Emile + Don; inventory/probes</x:v>
      </x:c>
      <x:c r="D16" s="10" t="str">
        <x:v>PROPOSED; repository unchanged</x:v>
      </x:c>
    </x:row>
    <x:row r="17" ht="48" customHeight="1">
      <x:c r="A17" s="9" t="str">
        <x:v>docs/risk/risk-register.csv</x:v>
      </x:c>
      <x:c r="B17" s="9" t="str">
        <x:v>Dated reassessment of RSK-04/06/07/11/12/15 and other affected risks; preserve old scores and record changes honestly</x:v>
      </x:c>
      <x:c r="C17" s="9" t="str">
        <x:v>Named risk owners; current evidence</x:v>
      </x:c>
      <x:c r="D17" s="9" t="str">
        <x:v>PROPOSED; repository unchanged</x:v>
      </x:c>
    </x:row>
    <x:row r="18" ht="48" customHeight="1">
      <x:c r="A18" s="10" t="str">
        <x:v>docs/risk/assumption-register.csv</x:v>
      </x:c>
      <x:c r="B18" s="10" t="str">
        <x:v>Record validation status/evidence for AS-01..05; no presumed acceptance of targets, email cost or participation</x:v>
      </x:c>
      <x:c r="C18" s="10" t="str">
        <x:v>Named workstreams; lecturer/team/platform evidence</x:v>
      </x:c>
      <x:c r="D18" s="10" t="str">
        <x:v>PROPOSED; repository unchanged</x:v>
      </x:c>
    </x:row>
    <x:row r="19" ht="56" customHeight="1">
      <x:c r="A19" s="9" t="str">
        <x:v>docs/governance/ai-usage-register.csv</x:v>
      </x:c>
      <x:c r="B19" s="9" t="str">
        <x:v>Keep AI-011 pending human review; distinguish automated outcomes, add proposed new review entry and AI-002 typo correction note</x:v>
      </x:c>
      <x:c r="C19" s="9" t="str">
        <x:v>Emile; named human checks when performed</x:v>
      </x:c>
      <x:c r="D19" s="9" t="str">
        <x:v>PROPOSED; repository unchanged</x:v>
      </x:c>
    </x:row>
    <x:row r="20" ht="56" customHeight="1">
      <x:c r="A20" s="10" t="str">
        <x:v>docs/decisions/decision-log.csv / ADR-013</x:v>
      </x:c>
      <x:c r="B20" s="10" t="str">
        <x:v>DEC-008 Deferred and ADR Proposed remain. Add decision only after measured weighted comparison/capability/campus/hosting/storage/auth evidence and real review</x:v>
      </x:c>
      <x:c r="C20" s="10" t="str">
        <x:v>Don; decision record and approvals</x:v>
      </x:c>
      <x:c r="D20" s="10" t="str">
        <x:v>PROPOSED; repository unchanged</x:v>
      </x:c>
    </x:row>
    <x:row r="21" ht="56" customHeight="1">
      <x:c r="A21" s="9" t="str">
        <x:v>docs/change/CHG-001-M3-implementation-spike.md</x:v>
      </x:c>
      <x:c r="B21" s="9" t="str">
        <x:v>Retain original no-UI/25-test draft as historical; append current basic UI/28-tests and merge/approval deviation. Do not set Approved by without actual decision</x:v>
      </x:c>
      <x:c r="C21" s="9" t="str">
        <x:v>Don + Emile; chronology and reviews</x:v>
      </x:c>
      <x:c r="D21" s="9" t="str">
        <x:v>PROPOSED; repository unchanged</x:v>
      </x:c>
    </x:row>
    <x:row r="22" ht="56" customHeight="1">
      <x:c r="A22" s="10" t="str">
        <x:v>PROJECT_HISTORY.md</x:v>
      </x:c>
      <x:c r="B22" s="10" t="str">
        <x:v>Append exact merger/test/defect/governance findings with current date; newest-first chronology. Historical pending PR/CI statements remain dated observations</x:v>
      </x:c>
      <x:c r="C22" s="10" t="str">
        <x:v>Emile; source links</x:v>
      </x:c>
      <x:c r="D22" s="10" t="str">
        <x:v>PROPOSED; repository unchanged</x:v>
      </x:c>
    </x:row>
    <x:row r="23" ht="48" customHeight="1">
      <x:c r="A23" s="9" t="str">
        <x:v>PROJECT_RULES.md / CODEOWNERS</x:v>
      </x:c>
      <x:c r="B23" s="9" t="str">
        <x:v>Version current workstream responsibility, resolve reviewer account validity, describe actual control state until restored</x:v>
      </x:c>
      <x:c r="C23" s="9" t="str">
        <x:v>Don + all; live settings/reviews</x:v>
      </x:c>
      <x:c r="D23" s="9" t="str">
        <x:v>PROPOSED; repository unchanged</x:v>
      </x:c>
    </x:row>
    <x:row r="24" ht="56" customHeight="1">
      <x:c r="A24" s="10" t="str">
        <x:v>docs/deployment/STAGING.md</x:v>
      </x:c>
      <x:c r="B24" s="10" t="str">
        <x:v>Maintain local synthetic-only status; use random uncommitted config and stable IDs after fix. Server binds0.0.0.0, so local-only prose alone is insufficient isolation</x:v>
      </x:c>
      <x:c r="C24" s="10" t="str">
        <x:v>Don; environment and health/smoke evidence</x:v>
      </x:c>
      <x:c r="D24" s="10" t="str">
        <x:v>PROPOSED; repository unchanged</x:v>
      </x:c>
    </x:row>
    <x:row r="25" ht="56" customHeight="1">
      <x:c r="A25" s="9" t="str">
        <x:v>PED v4.0 closure</x:v>
      </x:c>
      <x:c r="B25" s="9" t="str">
        <x:v>Continue existing PED with final scope reflection, scored original AC worksheet, exact release, real register dispositions and deployment decision</x:v>
      </x:c>
      <x:c r="C25" s="9" t="str">
        <x:v>Emile + team; final SHA-matched evidence</x:v>
      </x:c>
      <x:c r="D25" s="9" t="str">
        <x:v>PROPOSED; repository unchanged</x:v>
      </x:c>
    </x:row>
  </x:sheetData>
  <x:pageMargins left="0.7" right="0.7" top="0.75" bottom="0.75" header="0.3" footer="0.3"/>
  <x:tableParts count="1">
    <x:tablePart xmlns:r="http://schemas.openxmlformats.org/officeDocument/2006/relationships" r:id="Rb7399ea56ed84d5d"/>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2" hidden="0" customWidth="1"/>
    <x:col min="2" max="2" width="32" hidden="0" customWidth="1"/>
    <x:col min="3" max="3" width="55" hidden="0" customWidth="1"/>
    <x:col min="4" max="4" width="55" hidden="0" customWidth="1"/>
    <x:col min="5" max="5" width="32" hidden="0" customWidth="1"/>
  </x:cols>
  <x:sheetData>
    <x:row r="2">
      <x:c r="A2" s="1" t="str">
        <x:v>Scope baseline</x:v>
      </x:c>
    </x:row>
    <x:row r="3">
      <x:c r="A3" t="str">
        <x:v>Reviewed main f874f5cba35cb326c7a3aabeaa0e183f4eedb4b4 | 17 October 2026 SAST | Recommendations; no repository edits or human signoff</x:v>
      </x:c>
    </x:row>
    <x:row r="4">
      <x:c r="A4" s="16" t="str">
        <x:v>Source: https://github.com/Don-Sanvura/Civic-connect/blob/f874f5cba35cb326c7a3aabeaa0e183f4eedb4b4/docs/requirements/scope-baseline.csv</x:v>
      </x:c>
    </x:row>
    <x:row r="5" ht="36" customHeight="1">
      <x:c r="A5" s="8" t="str">
        <x:v>ID</x:v>
      </x:c>
      <x:c r="B5" s="8" t="str">
        <x:v>Classification</x:v>
      </x:c>
      <x:c r="C5" s="8" t="str">
        <x:v>Scope item</x:v>
      </x:c>
      <x:c r="D5" s="8" t="str">
        <x:v>Requirements</x:v>
      </x:c>
      <x:c r="E5" s="8" t="str">
        <x:v>Rationale / evidence required</x:v>
      </x:c>
    </x:row>
    <x:row r="6" ht="56" customHeight="1">
      <x:c r="A6" s="10" t="str">
        <x:v>SCOPE-I-01</x:v>
      </x:c>
      <x:c r="B6" s="10" t="str">
        <x:v>In scope</x:v>
      </x:c>
      <x:c r="C6" s="10" t="str">
        <x:v>Authentication and role-based access control for four roles: Requester, Staff, Manager, Administrator</x:v>
      </x:c>
      <x:c r="D6" s="10" t="str">
        <x:v>FR-001..FR-004, NFR-003, NFR-004</x:v>
      </x:c>
      <x:c r="E6" s="10" t="str"/>
    </x:row>
    <x:row r="7" ht="48" customHeight="1">
      <x:c r="A7" s="9" t="str">
        <x:v>SCOPE-I-02</x:v>
      </x:c>
      <x:c r="B7" s="9" t="str">
        <x:v>In scope</x:v>
      </x:c>
      <x:c r="C7" s="9" t="str">
        <x:v>Service request submission with a mandatory controlled category</x:v>
      </x:c>
      <x:c r="D7" s="9" t="str">
        <x:v>FR-005, FR-006</x:v>
      </x:c>
      <x:c r="E7" s="9" t="str"/>
    </x:row>
    <x:row r="8" ht="48" customHeight="1">
      <x:c r="A8" s="10" t="str">
        <x:v>SCOPE-I-03</x:v>
      </x:c>
      <x:c r="B8" s="10" t="str">
        <x:v>In scope</x:v>
      </x:c>
      <x:c r="C8" s="10" t="str">
        <x:v>Requester visibility: current status and full history of own requests</x:v>
      </x:c>
      <x:c r="D8" s="10" t="str">
        <x:v>FR-007, FR-008</x:v>
      </x:c>
      <x:c r="E8" s="10" t="str"/>
    </x:row>
    <x:row r="9" ht="48" customHeight="1">
      <x:c r="A9" s="9" t="str">
        <x:v>SCOPE-I-04</x:v>
      </x:c>
      <x:c r="B9" s="9" t="str">
        <x:v>In scope</x:v>
      </x:c>
      <x:c r="C9" s="9" t="str">
        <x:v>In-app and email notification on accept, reject, update and completion</x:v>
      </x:c>
      <x:c r="D9" s="9" t="str">
        <x:v>FR-009</x:v>
      </x:c>
      <x:c r="E9" s="9" t="str"/>
    </x:row>
    <x:row r="10" ht="48" customHeight="1">
      <x:c r="A10" s="10" t="str">
        <x:v>SCOPE-I-05</x:v>
      </x:c>
      <x:c r="B10" s="10" t="str">
        <x:v>In scope</x:v>
      </x:c>
      <x:c r="C10" s="10" t="str">
        <x:v>Staff work queue with search, filter and sort</x:v>
      </x:c>
      <x:c r="D10" s="10" t="str">
        <x:v>FR-011, FR-012, FR-013</x:v>
      </x:c>
      <x:c r="E10" s="10" t="str"/>
    </x:row>
    <x:row r="11" ht="48" customHeight="1">
      <x:c r="A11" s="9" t="str">
        <x:v>SCOPE-I-06</x:v>
      </x:c>
      <x:c r="B11" s="9" t="str">
        <x:v>In scope</x:v>
      </x:c>
      <x:c r="C11" s="9" t="str">
        <x:v>Assignment, self-assignment and reassignment of requests</x:v>
      </x:c>
      <x:c r="D11" s="9" t="str">
        <x:v>FR-014</x:v>
      </x:c>
      <x:c r="E11" s="9" t="str"/>
    </x:row>
    <x:row r="12" ht="48" customHeight="1">
      <x:c r="A12" s="10" t="str">
        <x:v>SCOPE-I-07</x:v>
      </x:c>
      <x:c r="B12" s="10" t="str">
        <x:v>In scope</x:v>
      </x:c>
      <x:c r="C12" s="10" t="str">
        <x:v>Controlled status lifecycle enforced as a state machine</x:v>
      </x:c>
      <x:c r="D12" s="10" t="str">
        <x:v>FR-015, FR-017, FR-018</x:v>
      </x:c>
      <x:c r="E12" s="10" t="str"/>
    </x:row>
    <x:row r="13" ht="48" customHeight="1">
      <x:c r="A13" s="9" t="str">
        <x:v>SCOPE-I-08</x:v>
      </x:c>
      <x:c r="B13" s="9" t="str">
        <x:v>In scope</x:v>
      </x:c>
      <x:c r="C13" s="9" t="str">
        <x:v>Action, comment and resolution recording on a request</x:v>
      </x:c>
      <x:c r="D13" s="9" t="str">
        <x:v>FR-010, FR-016</x:v>
      </x:c>
      <x:c r="E13" s="9" t="str"/>
    </x:row>
    <x:row r="14" ht="48" customHeight="1">
      <x:c r="A14" s="10" t="str">
        <x:v>SCOPE-I-09</x:v>
      </x:c>
      <x:c r="B14" s="10" t="str">
        <x:v>In scope</x:v>
      </x:c>
      <x:c r="C14" s="10" t="str">
        <x:v>Management dashboard covering open, in progress, overdue, resolved and closed work</x:v>
      </x:c>
      <x:c r="D14" s="10" t="str">
        <x:v>FR-019, FR-021</x:v>
      </x:c>
      <x:c r="E14" s="10" t="str"/>
    </x:row>
    <x:row r="15" ht="48" customHeight="1">
      <x:c r="A15" s="9" t="str">
        <x:v>SCOPE-I-10</x:v>
      </x:c>
      <x:c r="B15" s="9" t="str">
        <x:v>In scope</x:v>
      </x:c>
      <x:c r="C15" s="9" t="str">
        <x:v>Breakdown of activity by category, status, assignee and period, with CSV export</x:v>
      </x:c>
      <x:c r="D15" s="9" t="str">
        <x:v>FR-020, FR-022</x:v>
      </x:c>
      <x:c r="E15" s="9" t="str"/>
    </x:row>
    <x:row r="16" ht="48" customHeight="1">
      <x:c r="A16" s="10" t="str">
        <x:v>SCOPE-I-11</x:v>
      </x:c>
      <x:c r="B16" s="10" t="str">
        <x:v>In scope</x:v>
      </x:c>
      <x:c r="C16" s="10" t="str">
        <x:v>Administration of the controlled category list and of users and roles</x:v>
      </x:c>
      <x:c r="D16" s="10" t="str">
        <x:v>FR-023, FR-024</x:v>
      </x:c>
      <x:c r="E16" s="10" t="str"/>
    </x:row>
    <x:row r="17" ht="48" customHeight="1">
      <x:c r="A17" s="9" t="str">
        <x:v>SCOPE-I-12</x:v>
      </x:c>
      <x:c r="B17" s="9" t="str">
        <x:v>In scope</x:v>
      </x:c>
      <x:c r="C17" s="9" t="str">
        <x:v>Immutable audit trail of status and assignment changes</x:v>
      </x:c>
      <x:c r="D17" s="9" t="str">
        <x:v>FR-025, NFR-006</x:v>
      </x:c>
      <x:c r="E17" s="9" t="str"/>
    </x:row>
    <x:row r="18" ht="112" customHeight="1">
      <x:c r="A18" s="10" t="str">
        <x:v>SCOPE-O-01</x:v>
      </x:c>
      <x:c r="B18" s="10" t="str">
        <x:v>Out of scope</x:v>
      </x:c>
      <x:c r="C18" s="10" t="str">
        <x:v>Native mobile applications (iOS / Android)</x:v>
      </x:c>
      <x:c r="D18" s="10" t="str"/>
      <x:c r="E18" s="10" t="str">
        <x:v>Responsive web delivery satisfies SH-01 access needs at a fraction of the build, test and release cost. Two additional deployment targets cannot be verified within the schedule.</x:v>
      </x:c>
    </x:row>
    <x:row r="19" ht="98" customHeight="1">
      <x:c r="A19" s="9" t="str">
        <x:v>SCOPE-O-02</x:v>
      </x:c>
      <x:c r="B19" s="9" t="str">
        <x:v>Out of scope</x:v>
      </x:c>
      <x:c r="C19" s="9" t="str">
        <x:v>WhatsApp, SMS or telephone channel integration</x:v>
      </x:c>
      <x:c r="D19" s="9" t="str"/>
      <x:c r="E19" s="9" t="str">
        <x:v>The fragmented-channel problem is solved by consolidating onto one controlled record, not by adding further channels. Paid gateways also breach CN-03.</x:v>
      </x:c>
    </x:row>
    <x:row r="20" ht="84" customHeight="1">
      <x:c r="A20" s="10" t="str">
        <x:v>SCOPE-O-03</x:v>
      </x:c>
      <x:c r="B20" s="10" t="str">
        <x:v>Out of scope</x:v>
      </x:c>
      <x:c r="C20" s="10" t="str">
        <x:v>Integration with existing finance, ERP, HR or asset-management systems</x:v>
      </x:c>
      <x:c r="D20" s="10" t="str"/>
      <x:c r="E20" s="10" t="str">
        <x:v>No interface contract, test environment or owning stakeholder is available. Integration risk is unbounded and unverifiable.</x:v>
      </x:c>
    </x:row>
    <x:row r="21" ht="56" customHeight="1">
      <x:c r="A21" s="9" t="str">
        <x:v>SCOPE-O-04</x:v>
      </x:c>
      <x:c r="B21" s="9" t="str">
        <x:v>Out of scope</x:v>
      </x:c>
      <x:c r="C21" s="9" t="str">
        <x:v>Payment, billing or procurement handling</x:v>
      </x:c>
      <x:c r="D21" s="9" t="str"/>
      <x:c r="E21" s="9" t="str">
        <x:v>No stakeholder need identified in the CivicConnect scenario.</x:v>
      </x:c>
    </x:row>
    <x:row r="22" ht="70" customHeight="1">
      <x:c r="A22" s="10" t="str">
        <x:v>SCOPE-O-05</x:v>
      </x:c>
      <x:c r="B22" s="10" t="str">
        <x:v>Out of scope</x:v>
      </x:c>
      <x:c r="C22" s="10" t="str">
        <x:v>Multi-language and localisation support</x:v>
      </x:c>
      <x:c r="D22" s="10" t="str"/>
      <x:c r="E22" s="10" t="str">
        <x:v>No stakeholder has stated a language need. Adds string management to every subsequent change.</x:v>
      </x:c>
    </x:row>
    <x:row r="23" ht="70" customHeight="1">
      <x:c r="A23" s="9" t="str">
        <x:v>SCOPE-O-06</x:v>
      </x:c>
      <x:c r="B23" s="9" t="str">
        <x:v>Out of scope</x:v>
      </x:c>
      <x:c r="C23" s="9" t="str">
        <x:v>Offline / disconnected operation with local synchronisation</x:v>
      </x:c>
      <x:c r="D23" s="9" t="str"/>
      <x:c r="E23" s="9" t="str">
        <x:v>Conflict resolution and sync integrity are disproportionate to the value at this scale.</x:v>
      </x:c>
    </x:row>
    <x:row r="24" ht="98" customHeight="1">
      <x:c r="A24" s="10" t="str">
        <x:v>SCOPE-O-07</x:v>
      </x:c>
      <x:c r="B24" s="10" t="str">
        <x:v>Out of scope</x:v>
      </x:c>
      <x:c r="C24" s="10" t="str">
        <x:v>AI-based automatic triage, classification or prioritisation of requests</x:v>
      </x:c>
      <x:c r="D24" s="10" t="str"/>
      <x:c r="E24" s="10" t="str">
        <x:v>Rejected as scope creep. No training data, no accuracy acceptance criterion, and it would place an unverifiable component on the critical accountability path.</x:v>
      </x:c>
    </x:row>
    <x:row r="25" ht="70" customHeight="1">
      <x:c r="A25" s="9" t="str">
        <x:v>SCOPE-O-08</x:v>
      </x:c>
      <x:c r="B25" s="9" t="str">
        <x:v>Out of scope</x:v>
      </x:c>
      <x:c r="C25" s="9" t="str">
        <x:v>External contractor / third-party supplier portal</x:v>
      </x:c>
      <x:c r="D25" s="9" t="str"/>
      <x:c r="E25" s="9" t="str">
        <x:v>Introduces an additional trust boundary and authorisation model that the security work in scope cannot cover.</x:v>
      </x:c>
    </x:row>
    <x:row r="26" ht="48" customHeight="1">
      <x:c r="A26" s="10" t="str">
        <x:v>SCOPE-O-09</x:v>
      </x:c>
      <x:c r="B26" s="10" t="str">
        <x:v>Out of scope</x:v>
      </x:c>
      <x:c r="C26" s="10" t="str">
        <x:v>IoT or sensor-originated automatic request creation</x:v>
      </x:c>
      <x:c r="D26" s="10" t="str"/>
      <x:c r="E26" s="10" t="str">
        <x:v>No such source exists in the described environment.</x:v>
      </x:c>
    </x:row>
    <x:row r="27" ht="182" customHeight="1">
      <x:c r="A27" s="9" t="str">
        <x:v>SCOPE-D-01</x:v>
      </x:c>
      <x:c r="B27" s="9" t="str">
        <x:v>Deferred to M2 (pending DEC-007)</x:v>
      </x:c>
      <x:c r="C27" s="9" t="str">
        <x:v>File and photograph attachments on a request</x:v>
      </x:c>
      <x:c r="D27" s="9" t="str"/>
      <x:c r="E27" s="9" t="str">
        <x:v>Requires object storage beyond the free tier, file-type and size validation, malware handling, and a retention/privacy obligation for images that may contain personal data. Deferred until the platform decision (DEC-008) establishes actual free-tier storage limits and until evidence exists of how often a photograph is genuinely required.</x:v>
      </x:c>
    </x:row>
    <x:row r="28" ht="154" customHeight="1">
      <x:c r="A28" s="10" t="str">
        <x:v>SCOPE-D-02</x:v>
      </x:c>
      <x:c r="B28" s="10" t="str">
        <x:v>Deferred to M2</x:v>
      </x:c>
      <x:c r="C28" s="10" t="str">
        <x:v>Automated SLA timers and escalation rules</x:v>
      </x:c>
      <x:c r="D28" s="10" t="str"/>
      <x:c r="E28" s="10" t="str">
        <x:v>FR-021 currently identifies overdue work against a target resolution time per category. The target values have not been agreed with a stakeholder (RSK-05). Automating escalation on unvalidated thresholds would generate false escalations and erode trust in the system.</x:v>
      </x:c>
    </x:row>
    <x:row r="29" ht="154" customHeight="1">
      <x:c r="A29" s="9" t="str">
        <x:v>SCOPE-D-03</x:v>
      </x:c>
      <x:c r="B29" s="9" t="str">
        <x:v>Deferred to M4 or post-project</x:v>
      </x:c>
      <x:c r="C29" s="9" t="str">
        <x:v>SMS / push notification channel</x:v>
      </x:c>
      <x:c r="D29" s="9" t="str"/>
      <x:c r="E29" s="9" t="str">
        <x:v>Returns when a funded messaging budget exists, or when a free-tier gateway is identified that meets the notification volume in NFR-013 at zero cost. Retained on the register so the unmet SH-04 escalation expectation (CF-03) stays visible; residual exposure is RSK-08.</x:v>
      </x:c>
    </x:row>
    <x:row r="30" ht="98" customHeight="1">
      <x:c r="A30" s="10" t="str">
        <x:v>SCOPE-D-04</x:v>
      </x:c>
      <x:c r="B30" s="10" t="str">
        <x:v>Deferred to M2</x:v>
      </x:c>
      <x:c r="C30" s="10" t="str">
        <x:v>Anonymous or confidential reporting channel</x:v>
      </x:c>
      <x:c r="D30" s="10" t="str"/>
      <x:c r="E30" s="10" t="str">
        <x:v>Resolves CF-01 but requires a separate authorisation and audit model. Deferred pending a decision on whether accountability can be preserved without identity.</x:v>
      </x:c>
    </x:row>
    <x:row r="31" ht="98" customHeight="1">
      <x:c r="A31" s="9" t="str">
        <x:v>SCOPE-D-05</x:v>
      </x:c>
      <x:c r="B31" s="9" t="str">
        <x:v>Deferred to M3</x:v>
      </x:c>
      <x:c r="C31" s="9" t="str">
        <x:v>Bulk import of historical spreadsheet and paper records</x:v>
      </x:c>
      <x:c r="D31" s="9" t="str"/>
      <x:c r="E31" s="9" t="str">
        <x:v>Data quality of the legacy records is unknown. Migration cannot be specified until the persistence design exists (M2) and a sample extract has been inspected.</x:v>
      </x:c>
    </x:row>
    <x:row r="32" ht="98" customHeight="1">
      <x:c r="A32" s="10" t="str">
        <x:v>SCOPE-D-06</x:v>
      </x:c>
      <x:c r="B32" s="10" t="str">
        <x:v>Deferred to M4 / future</x:v>
      </x:c>
      <x:c r="C32" s="10" t="str">
        <x:v>Advanced analytics, trend reporting and scheduled report distribution</x:v>
      </x:c>
      <x:c r="D32" s="10" t="str"/>
      <x:c r="E32" s="10" t="str">
        <x:v>FR-019 to FR-022 satisfy the stated oversight need. Further analytics adds query and performance load against NFR-001 for value not yet evidenced.</x:v>
      </x:c>
    </x:row>
  </x:sheetData>
  <x:pageMargins left="0.7" right="0.7" top="0.75" bottom="0.75" header="0.3" footer="0.3"/>
  <x:tableParts count="1">
    <x:tablePart xmlns:r="http://schemas.openxmlformats.org/officeDocument/2006/relationships" r:id="R313db9f34acb4c46"/>
  </x:tableParts>
</x:worksheet>
</file>